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ray\Desktop\degerli_madenler_raporu\"/>
    </mc:Choice>
  </mc:AlternateContent>
  <xr:revisionPtr revIDLastSave="0" documentId="13_ncr:1_{13DCC46D-C93D-42FD-B853-73E2F9EF0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İLGİLENDİRME" sheetId="2" r:id="rId1"/>
    <sheet name="DEĞERLİ MADENLER" sheetId="1" r:id="rId2"/>
    <sheet name="KORELASYON" sheetId="4" r:id="rId3"/>
    <sheet name="DASHBOARD $" sheetId="3" r:id="rId4"/>
    <sheet name="DASHBOARD %" sheetId="5" r:id="rId5"/>
  </sheets>
  <definedNames>
    <definedName name="_xlnm._FilterDatabase" localSheetId="1" hidden="1">'DEĞERLİ MADENLER'!$A$2:$A$50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0" i="1" l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I50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B50" i="1"/>
  <c r="F50" i="1"/>
  <c r="G48" i="1"/>
  <c r="C48" i="1"/>
  <c r="F4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3" i="1"/>
  <c r="B6" i="4" l="1"/>
  <c r="B4" i="4"/>
  <c r="B7" i="4"/>
  <c r="B2" i="4"/>
  <c r="B5" i="4"/>
  <c r="B3" i="4"/>
</calcChain>
</file>

<file path=xl/sharedStrings.xml><?xml version="1.0" encoding="utf-8"?>
<sst xmlns="http://schemas.openxmlformats.org/spreadsheetml/2006/main" count="206" uniqueCount="150">
  <si>
    <t>YIL</t>
  </si>
  <si>
    <t>DEĞER</t>
  </si>
  <si>
    <t>YÜZDELİK ARTIŞ</t>
  </si>
  <si>
    <t>AÇIKLAMA</t>
  </si>
  <si>
    <t>Düşük faiz → altın talebi arttı</t>
  </si>
  <si>
    <t>Enflasyon ve Sovyet-Afgan savaşıyla rekor yükseliş</t>
  </si>
  <si>
    <t>Faiz artışı ve güçlü dolar → düşüş</t>
  </si>
  <si>
    <t>Faiz indirimi beklentisi → yükseliş</t>
  </si>
  <si>
    <t>Ekonomik toparlanma → yatay seyir</t>
  </si>
  <si>
    <t>Güçlü dolar → baskı</t>
  </si>
  <si>
    <t>Plaza Anlaşması → dolar zayıfladı, altın toparlandı</t>
  </si>
  <si>
    <t>Petrol fiyat düşüşü → enflasyon baskısı azaldı</t>
  </si>
  <si>
    <t>Borsa çöküşü → kısa süreli güvenli liman talebi</t>
  </si>
  <si>
    <t>İstikrarlı büyüme → altın zayıf</t>
  </si>
  <si>
    <t>Jeopolitik riskler → hafif yükseliş</t>
  </si>
  <si>
    <t>Körfez Savaşı → güvenli liman talebi</t>
  </si>
  <si>
    <t>Savaş sonrası rahatlama → düşüş</t>
  </si>
  <si>
    <t>Düşük enflasyon → zayıf talep</t>
  </si>
  <si>
    <t>Dolar güçlü → altın baskı altında</t>
  </si>
  <si>
    <t>Fed faiz artırımı → düşüş</t>
  </si>
  <si>
    <t>Dolar zayıfladı → toparlanma</t>
  </si>
  <si>
    <t>Merkez bankası satışları → düşüş</t>
  </si>
  <si>
    <t>Asya krizi → kısa süreli yükseliş</t>
  </si>
  <si>
    <t>Rusya krizi → güvenli liman talebi</t>
  </si>
  <si>
    <t>Washington Anlaşması → merkez bankası satışları sınırlandı</t>
  </si>
  <si>
    <t>Dot-com balonu → altın yatay</t>
  </si>
  <si>
    <t>11 Eylül → güvenli liman talebi arttı</t>
  </si>
  <si>
    <t>Dolar zayıfladı → yükseliş</t>
  </si>
  <si>
    <t>Irak Savaşı → jeopolitik risk artışı</t>
  </si>
  <si>
    <t>Enflasyon beklentisi → yükseliş</t>
  </si>
  <si>
    <t>Jeopolitik gerilimler → destekleyici</t>
  </si>
  <si>
    <t>Mortgage krizi başladı → güvenli liman talebi</t>
  </si>
  <si>
    <t>Küresel kriz → dalgalı ama güvenli liman arayışı</t>
  </si>
  <si>
    <t>Fed faiz indirdi → altın yükseldi</t>
  </si>
  <si>
    <t>Avrupa borç krizi → güvenli liman talebi</t>
  </si>
  <si>
    <t>ABD kredi notu indirildi → rekor seviye</t>
  </si>
  <si>
    <t>Parasal genişleme → destekleyici</t>
  </si>
  <si>
    <t>Fed tapering sinyali → sert düşüş</t>
  </si>
  <si>
    <t>Dolar güçlendi → baskı</t>
  </si>
  <si>
    <t>Fed faiz artırımı beklentisi → düşüş</t>
  </si>
  <si>
    <t>Brexit → güvenli liman talebi</t>
  </si>
  <si>
    <t>Kuzey Kore gerilimi → yükseliş</t>
  </si>
  <si>
    <t>Dolar güçlü, faizler yüksek → baskı</t>
  </si>
  <si>
    <t>Ticaret savaşları, Fed faiz indirimi → yükseliş</t>
  </si>
  <si>
    <t>COVID-19 → rekor güvenli liman talebi</t>
  </si>
  <si>
    <t>Enflasyon yükseldi ama faiz beklentisi baskıladı</t>
  </si>
  <si>
    <t>Jeopolitik riskler, merkez bankası alımları → yükseliş</t>
  </si>
  <si>
    <t>Fed agresif faiz artırımı → düşüş</t>
  </si>
  <si>
    <t>Hunt kardeşlerin manipülasyonu çöktü → sert düşüş</t>
  </si>
  <si>
    <t>Yüksek faiz, güçlü dolar → düşüş</t>
  </si>
  <si>
    <t>Faiz indirimi beklentisi → toparlanma</t>
  </si>
  <si>
    <t>Plaza Anlaşması → dolar zayıfladı</t>
  </si>
  <si>
    <t>Sanayi talebi arttı → toparlanma</t>
  </si>
  <si>
    <t>Jeopolitik riskler → sınırlı yükseliş</t>
  </si>
  <si>
    <t>Sanayi talebi dengeli → yatay seyir</t>
  </si>
  <si>
    <t>Merkez bankası satışları → baskı</t>
  </si>
  <si>
    <t>Washington Anlaşması → altınla birlikte destek</t>
  </si>
  <si>
    <t>Dot-com balonu → yatay</t>
  </si>
  <si>
    <t>11 Eylül → güvenli liman talebi</t>
  </si>
  <si>
    <t>Zayıf dolar → yükseliş</t>
  </si>
  <si>
    <t>Irak Savaşı → jeopolitik risk</t>
  </si>
  <si>
    <t>Sanayi ve yatırım talebi arttı</t>
  </si>
  <si>
    <t>Gümüş ETF onayı → yatırım talebi arttı</t>
  </si>
  <si>
    <t>Mortgage krizi → güvenli liman talebi</t>
  </si>
  <si>
    <t>Küresel kriz → sert dalgalanma</t>
  </si>
  <si>
    <t>Parasal genişleme → yükseliş</t>
  </si>
  <si>
    <t>Sanayi talebi ve yatırım ilgisi → güçlü artış</t>
  </si>
  <si>
    <t>Euro krizi, yatırım talebi → zirve</t>
  </si>
  <si>
    <t>Faiz artırımı beklentisi → düşüş</t>
  </si>
  <si>
    <t>Brexit, düşük faiz → yükseliş</t>
  </si>
  <si>
    <t>Sanayi talebi dengeli → yatay</t>
  </si>
  <si>
    <t>Güçlü dolar, düşük enflasyon → baskı</t>
  </si>
  <si>
    <t>Ticaret savaşları, Fed indirimi → yükseliş</t>
  </si>
  <si>
    <t>COVID-19, yatırım ve sanayi talebi → sert yükseliş</t>
  </si>
  <si>
    <t>Enflasyon yükseldi ama faiz baskısı → sınırlı yükseliş</t>
  </si>
  <si>
    <t>Fed faiz indirimi sinyali, zayıf dolar → yükseliş</t>
  </si>
  <si>
    <t>DEĞER*100</t>
  </si>
  <si>
    <t>GOLD US$/OZ</t>
  </si>
  <si>
    <t>NOT</t>
  </si>
  <si>
    <t>GÜNCELLENME TARİHİ</t>
  </si>
  <si>
    <t>2025-2026 VERİLERİ AKTİF GÜNE GÖRE GÜNCELLENMEKTEDİR</t>
  </si>
  <si>
    <t>DASHBOARD SAYFASINDAN KARŞILAŞTIRMAYI GRAFİK HALİNDE YAPABİLİRSİNİZ.</t>
  </si>
  <si>
    <t>VERİLER HER YILIN AÇILIŞ RAKAMLARIDIR. KAR ORANLARI AİT OLDUKLARI SATIRLARIN YILINA GÖRE KAZANDIRANI BELİRTMEKTEDİR.</t>
  </si>
  <si>
    <t>TOPLAM</t>
  </si>
  <si>
    <t>SILVER US$/OZ</t>
  </si>
  <si>
    <t>PLATINUM US$/OZ</t>
  </si>
  <si>
    <t>Altınla birlikte zirve yaptı, ardından düşüş başladı</t>
  </si>
  <si>
    <t>Otomotiv talebi arttı → yükseliş</t>
  </si>
  <si>
    <t>Güney Afrika arzı arttı → düşüş</t>
  </si>
  <si>
    <t>Otomotiv talebi zayıf → baskı</t>
  </si>
  <si>
    <t>Güney Afrika üretimi arttı → düşüş</t>
  </si>
  <si>
    <t>Sanayi talebi arttı → yükseliş</t>
  </si>
  <si>
    <t>Asya krizi → sanayi talebi düştü</t>
  </si>
  <si>
    <t>Otomotiv katalizör talebi arttı</t>
  </si>
  <si>
    <t>Sanayi toparlandı → yükseliş</t>
  </si>
  <si>
    <t>Çin talebi arttı → destekleyici</t>
  </si>
  <si>
    <t>Otomotiv sektörü güçlü → yükseliş</t>
  </si>
  <si>
    <t>Arz sıkıntısı → fiyatlar yükseldi</t>
  </si>
  <si>
    <t>Güney Afrika üretim sorunları → yükseliş</t>
  </si>
  <si>
    <t>Talep güçlü, arz sınırlı → yükseliş</t>
  </si>
  <si>
    <t>Rekor seviye (2200 USD), sonra krizle sert düşüş</t>
  </si>
  <si>
    <t>Parasal genişleme → toparlanma</t>
  </si>
  <si>
    <t>Otomotiv talebi güçlü → yükseliş</t>
  </si>
  <si>
    <t>Euro krizi → dalgalı seyir</t>
  </si>
  <si>
    <t>Güney Afrika grevleri → arz daraldı</t>
  </si>
  <si>
    <t>Zayıf talep → düşüş</t>
  </si>
  <si>
    <t>Güney Afrika grevleri → yükseliş</t>
  </si>
  <si>
    <t>Dizel skandalı (Volkswagen) → talep düştü</t>
  </si>
  <si>
    <t>Düşük talep, güçlü dolar → baskı</t>
  </si>
  <si>
    <t>Elektrikli araç beklentisi → zayıf talep</t>
  </si>
  <si>
    <t>Sanayi talebi zayıf → düşüş</t>
  </si>
  <si>
    <t>Paladyumun yükselişi → platin gölgede kaldı</t>
  </si>
  <si>
    <t>COVID-19 → üretim kesintisi, talep düştü</t>
  </si>
  <si>
    <t>Ekonomik toparlanma → sınırlı yükseliş</t>
  </si>
  <si>
    <t>Fed faiz artırımı, zayıf sanayi → düşüş</t>
  </si>
  <si>
    <t>Çin talebi toparlandı, yatırım ilgisi arttı</t>
  </si>
  <si>
    <t>Mücevher ve sanayi talebi artışı, dolar zayıflığı → yükseliş</t>
  </si>
  <si>
    <t>PALLADIUM US$/OZ</t>
  </si>
  <si>
    <t>Otomotiv talebi arttı</t>
  </si>
  <si>
    <t>Ford stok paniği → fiyatlar zirve yaptı (~1100 USD)</t>
  </si>
  <si>
    <t>Talep düştü, satışlar başladı → sert düşüş</t>
  </si>
  <si>
    <t>Arz dengelendi, fiyatlar geriledi</t>
  </si>
  <si>
    <t>Otomotiv toparlandı → sınırlı yükseliş</t>
  </si>
  <si>
    <t>Rusya ihracat belirsizliği → yükseliş</t>
  </si>
  <si>
    <t>Arz-talep dengesi sağlandı → yatay</t>
  </si>
  <si>
    <t>Çin talebi arttı → yükseliş</t>
  </si>
  <si>
    <t>Rekor seviye (~580 USD), sonra krizle sert düşüş</t>
  </si>
  <si>
    <t>Güney Afrika arzı düştü → yükseliş</t>
  </si>
  <si>
    <t>Rusya-Ukrayna gerilimi → arz riski, fiyat yükseldi</t>
  </si>
  <si>
    <t>Dizel skandalı → platin düştü, paladyum öne çıktı</t>
  </si>
  <si>
    <t>Benzinli araç talebi arttı → paladyum talebi yükseldi</t>
  </si>
  <si>
    <t>Arz açığı başladı → fiyatlar hızla yükseldi</t>
  </si>
  <si>
    <t>Arz-talep farkı büyüdü → yükseliş devam etti</t>
  </si>
  <si>
    <t>Rekor kırdı (~1900 USD) → otomotiv talebi güçlü</t>
  </si>
  <si>
    <t>COVID-19 → üretim kesintisi, fiyatlar dalgalı</t>
  </si>
  <si>
    <t>Arz sıkıntısı, yatırım talebi → tüm zamanların zirvesi (~3000 USD)</t>
  </si>
  <si>
    <t>Çin talebi zayıf, Fed sıkılaşması → düşüş</t>
  </si>
  <si>
    <t>Elektrikli araç geçişi → talep azaldı, fiyat düştü</t>
  </si>
  <si>
    <t>Arz toparlandı, talep zayıf → fiyatlar baskı altında</t>
  </si>
  <si>
    <t>AÇIKLAMA KISMI METİNLERİ HER KUTUCUĞUN BİR YIL ÖNCEKİ KAR VE ZARARINI İFADE ETMEKTEDİR!!!</t>
  </si>
  <si>
    <t>İŞLEM ÇİFTİ</t>
  </si>
  <si>
    <t>ALTIN ↔  GÜMÜŞ</t>
  </si>
  <si>
    <t>ALTIN ↔  PLATİN</t>
  </si>
  <si>
    <t>ALTIN ↔  PALADYUM</t>
  </si>
  <si>
    <t>GÜMÜŞ ↔ PLATİN</t>
  </si>
  <si>
    <t>GÜMÜŞ ↔ PALADYUM</t>
  </si>
  <si>
    <t>PLATİN ↔ PALADYUM</t>
  </si>
  <si>
    <t>Veri güncelleniyor – geçici değer</t>
  </si>
  <si>
    <t>YIL KESİMİNDE FİLTRE VARDIR. ÖZELLİKLE İSTEDİĞİNİZ YILLAR SEÇİLEBİLİR.</t>
  </si>
  <si>
    <t>GRAFİKLERDE FİYAT DÜZENEĞİ İÇİN GÜMÜŞ FİYATINA *100 ÇARPAN UYGULANMIŞTIR!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</si>
</sst>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20"/>
      <color theme="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vertical="center"/>
    </xf>
    <xf numFmtId="0" fontId="7" fillId="5" borderId="6" xfId="0" applyFont="1" applyFill="1" applyBorder="1"/>
    <xf numFmtId="0" fontId="7" fillId="5" borderId="7" xfId="0" applyFont="1" applyFill="1" applyBorder="1"/>
    <xf numFmtId="0" fontId="7" fillId="2" borderId="8" xfId="0" applyFont="1" applyFill="1" applyBorder="1"/>
    <xf numFmtId="14" fontId="7" fillId="2" borderId="9" xfId="0" applyNumberFormat="1" applyFont="1" applyFill="1" applyBorder="1"/>
    <xf numFmtId="0" fontId="10" fillId="0" borderId="1" xfId="0" applyFont="1" applyBorder="1" applyAlignment="1">
      <alignment horizontal="center" vertical="center"/>
    </xf>
    <xf numFmtId="0" fontId="7" fillId="2" borderId="0" xfId="0" applyFont="1" applyFill="1"/>
    <xf numFmtId="0" fontId="1" fillId="0" borderId="0" xfId="0" applyFont="1"/>
    <xf numFmtId="10" fontId="0" fillId="0" borderId="0" xfId="1" applyNumberFormat="1" applyFont="1"/>
    <xf numFmtId="0" fontId="9" fillId="6" borderId="8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wrapText="1"/>
    </xf>
    <xf numFmtId="0" fontId="4" fillId="7" borderId="9" xfId="0" applyFont="1" applyFill="1" applyBorder="1" applyAlignment="1">
      <alignment horizontal="center" wrapText="1"/>
    </xf>
    <xf numFmtId="0" fontId="8" fillId="8" borderId="10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10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10" fontId="11" fillId="0" borderId="3" xfId="1" applyNumberFormat="1" applyFont="1" applyBorder="1" applyAlignment="1">
      <alignment horizontal="center" vertical="center"/>
    </xf>
    <xf numFmtId="10" fontId="11" fillId="0" borderId="4" xfId="1" applyNumberFormat="1" applyFont="1" applyBorder="1" applyAlignment="1">
      <alignment horizontal="center" vertical="center"/>
    </xf>
    <xf numFmtId="10" fontId="11" fillId="0" borderId="5" xfId="1" applyNumberFormat="1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Yüzde" xfId="1" builtinId="5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Değerli Madenler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'DEĞERLİ MADENLER'!$B$1:$D$1</c:f>
              <c:strCache>
                <c:ptCount val="1"/>
                <c:pt idx="0">
                  <c:v>GOLD US$/OZ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MADENLER'!$B$3:$B$49</c:f>
              <c:numCache>
                <c:formatCode>[$$-409]#,##0.00</c:formatCode>
                <c:ptCount val="47"/>
                <c:pt idx="0">
                  <c:v>562.5</c:v>
                </c:pt>
                <c:pt idx="1">
                  <c:v>584.29999999999995</c:v>
                </c:pt>
                <c:pt idx="2">
                  <c:v>394.7</c:v>
                </c:pt>
                <c:pt idx="3">
                  <c:v>450.5</c:v>
                </c:pt>
                <c:pt idx="4">
                  <c:v>381</c:v>
                </c:pt>
                <c:pt idx="5">
                  <c:v>303.3</c:v>
                </c:pt>
                <c:pt idx="6">
                  <c:v>327</c:v>
                </c:pt>
                <c:pt idx="7">
                  <c:v>401.5</c:v>
                </c:pt>
                <c:pt idx="8">
                  <c:v>479.2</c:v>
                </c:pt>
                <c:pt idx="9">
                  <c:v>410.8</c:v>
                </c:pt>
                <c:pt idx="10">
                  <c:v>399.6</c:v>
                </c:pt>
                <c:pt idx="11">
                  <c:v>393</c:v>
                </c:pt>
                <c:pt idx="12">
                  <c:v>352.1</c:v>
                </c:pt>
                <c:pt idx="13">
                  <c:v>332.8</c:v>
                </c:pt>
                <c:pt idx="14">
                  <c:v>393.7</c:v>
                </c:pt>
                <c:pt idx="15">
                  <c:v>379.6</c:v>
                </c:pt>
                <c:pt idx="16">
                  <c:v>387.6</c:v>
                </c:pt>
                <c:pt idx="17">
                  <c:v>365.7</c:v>
                </c:pt>
                <c:pt idx="18">
                  <c:v>281.60000000000002</c:v>
                </c:pt>
                <c:pt idx="19">
                  <c:v>287.5</c:v>
                </c:pt>
                <c:pt idx="20">
                  <c:v>288</c:v>
                </c:pt>
                <c:pt idx="21">
                  <c:v>272.45</c:v>
                </c:pt>
                <c:pt idx="22">
                  <c:v>278.7</c:v>
                </c:pt>
                <c:pt idx="23">
                  <c:v>347.8</c:v>
                </c:pt>
                <c:pt idx="24">
                  <c:v>415.6</c:v>
                </c:pt>
                <c:pt idx="25">
                  <c:v>438</c:v>
                </c:pt>
                <c:pt idx="26">
                  <c:v>513.04999999999995</c:v>
                </c:pt>
                <c:pt idx="27">
                  <c:v>636.25</c:v>
                </c:pt>
                <c:pt idx="28">
                  <c:v>833.3</c:v>
                </c:pt>
                <c:pt idx="29">
                  <c:v>880.47</c:v>
                </c:pt>
                <c:pt idx="30">
                  <c:v>1096.3499999999999</c:v>
                </c:pt>
                <c:pt idx="31">
                  <c:v>1419.45</c:v>
                </c:pt>
                <c:pt idx="32">
                  <c:v>1568.67</c:v>
                </c:pt>
                <c:pt idx="33">
                  <c:v>1675.34</c:v>
                </c:pt>
                <c:pt idx="34">
                  <c:v>1205.4000000000001</c:v>
                </c:pt>
                <c:pt idx="35">
                  <c:v>1182.1600000000001</c:v>
                </c:pt>
                <c:pt idx="36">
                  <c:v>1061.2</c:v>
                </c:pt>
                <c:pt idx="37">
                  <c:v>1151.49</c:v>
                </c:pt>
                <c:pt idx="38">
                  <c:v>1302.56</c:v>
                </c:pt>
                <c:pt idx="39">
                  <c:v>1282.25</c:v>
                </c:pt>
                <c:pt idx="40">
                  <c:v>1517.7</c:v>
                </c:pt>
                <c:pt idx="41">
                  <c:v>1898.07</c:v>
                </c:pt>
                <c:pt idx="42">
                  <c:v>1828</c:v>
                </c:pt>
                <c:pt idx="43">
                  <c:v>1823.53</c:v>
                </c:pt>
                <c:pt idx="44">
                  <c:v>2062.6799999999998</c:v>
                </c:pt>
                <c:pt idx="45">
                  <c:v>2623.82</c:v>
                </c:pt>
                <c:pt idx="46">
                  <c:v>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0-48F2-9D76-3589BB837F95}"/>
            </c:ext>
          </c:extLst>
        </c:ser>
        <c:ser>
          <c:idx val="1"/>
          <c:order val="1"/>
          <c:tx>
            <c:strRef>
              <c:f>'DEĞERLİ MADENLER'!$E$1:$H$1</c:f>
              <c:strCache>
                <c:ptCount val="1"/>
                <c:pt idx="0">
                  <c:v>SILVER US$/OZ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MADENLER'!$F$3:$F$49</c:f>
              <c:numCache>
                <c:formatCode>[$$-409]#,##0.00</c:formatCode>
                <c:ptCount val="47"/>
                <c:pt idx="0">
                  <c:v>3775</c:v>
                </c:pt>
                <c:pt idx="1">
                  <c:v>1565</c:v>
                </c:pt>
                <c:pt idx="2">
                  <c:v>802</c:v>
                </c:pt>
                <c:pt idx="3">
                  <c:v>1095</c:v>
                </c:pt>
                <c:pt idx="4">
                  <c:v>858</c:v>
                </c:pt>
                <c:pt idx="5">
                  <c:v>615</c:v>
                </c:pt>
                <c:pt idx="6">
                  <c:v>573</c:v>
                </c:pt>
                <c:pt idx="7">
                  <c:v>544</c:v>
                </c:pt>
                <c:pt idx="8">
                  <c:v>652</c:v>
                </c:pt>
                <c:pt idx="9">
                  <c:v>607</c:v>
                </c:pt>
                <c:pt idx="10">
                  <c:v>521</c:v>
                </c:pt>
                <c:pt idx="11">
                  <c:v>413</c:v>
                </c:pt>
                <c:pt idx="12">
                  <c:v>386</c:v>
                </c:pt>
                <c:pt idx="13">
                  <c:v>364</c:v>
                </c:pt>
                <c:pt idx="14">
                  <c:v>509.99999999999994</c:v>
                </c:pt>
                <c:pt idx="15">
                  <c:v>473.00000000000006</c:v>
                </c:pt>
                <c:pt idx="16">
                  <c:v>540</c:v>
                </c:pt>
                <c:pt idx="17">
                  <c:v>475</c:v>
                </c:pt>
                <c:pt idx="18">
                  <c:v>592</c:v>
                </c:pt>
                <c:pt idx="19">
                  <c:v>492</c:v>
                </c:pt>
                <c:pt idx="20">
                  <c:v>540</c:v>
                </c:pt>
                <c:pt idx="21">
                  <c:v>459.99999999999994</c:v>
                </c:pt>
                <c:pt idx="22">
                  <c:v>461.00000000000006</c:v>
                </c:pt>
                <c:pt idx="23">
                  <c:v>476.99999999999994</c:v>
                </c:pt>
                <c:pt idx="24">
                  <c:v>593</c:v>
                </c:pt>
                <c:pt idx="25">
                  <c:v>679</c:v>
                </c:pt>
                <c:pt idx="26">
                  <c:v>881</c:v>
                </c:pt>
                <c:pt idx="27">
                  <c:v>1287</c:v>
                </c:pt>
                <c:pt idx="28">
                  <c:v>1477</c:v>
                </c:pt>
                <c:pt idx="29">
                  <c:v>1137</c:v>
                </c:pt>
                <c:pt idx="30">
                  <c:v>1684</c:v>
                </c:pt>
                <c:pt idx="31">
                  <c:v>3086</c:v>
                </c:pt>
                <c:pt idx="32">
                  <c:v>2783</c:v>
                </c:pt>
                <c:pt idx="33">
                  <c:v>3032</c:v>
                </c:pt>
                <c:pt idx="34">
                  <c:v>1945</c:v>
                </c:pt>
                <c:pt idx="35">
                  <c:v>1567</c:v>
                </c:pt>
                <c:pt idx="36">
                  <c:v>1384</c:v>
                </c:pt>
                <c:pt idx="37">
                  <c:v>1588</c:v>
                </c:pt>
                <c:pt idx="38">
                  <c:v>1691</c:v>
                </c:pt>
                <c:pt idx="39">
                  <c:v>1546</c:v>
                </c:pt>
                <c:pt idx="40">
                  <c:v>1785.0000000000002</c:v>
                </c:pt>
                <c:pt idx="41">
                  <c:v>2635</c:v>
                </c:pt>
                <c:pt idx="42">
                  <c:v>2328</c:v>
                </c:pt>
                <c:pt idx="43">
                  <c:v>2395</c:v>
                </c:pt>
                <c:pt idx="44">
                  <c:v>2377</c:v>
                </c:pt>
                <c:pt idx="45">
                  <c:v>2889</c:v>
                </c:pt>
                <c:pt idx="46">
                  <c:v>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0-48F2-9D76-3589BB837F95}"/>
            </c:ext>
          </c:extLst>
        </c:ser>
        <c:ser>
          <c:idx val="2"/>
          <c:order val="2"/>
          <c:tx>
            <c:strRef>
              <c:f>'DEĞERLİ MADENLER'!$I$1:$K$1</c:f>
              <c:strCache>
                <c:ptCount val="1"/>
                <c:pt idx="0">
                  <c:v>PLATINUM US$/OZ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MADENLER'!$I$3:$I$49</c:f>
              <c:numCache>
                <c:formatCode>[$$-409]#,##0.00</c:formatCode>
                <c:ptCount val="47"/>
                <c:pt idx="0">
                  <c:v>722.6</c:v>
                </c:pt>
                <c:pt idx="1">
                  <c:v>612.1</c:v>
                </c:pt>
                <c:pt idx="2">
                  <c:v>387.5</c:v>
                </c:pt>
                <c:pt idx="3">
                  <c:v>403.3</c:v>
                </c:pt>
                <c:pt idx="4">
                  <c:v>387.8</c:v>
                </c:pt>
                <c:pt idx="5">
                  <c:v>279.2</c:v>
                </c:pt>
                <c:pt idx="6">
                  <c:v>347</c:v>
                </c:pt>
                <c:pt idx="7">
                  <c:v>477.4</c:v>
                </c:pt>
                <c:pt idx="8">
                  <c:v>502.5</c:v>
                </c:pt>
                <c:pt idx="9">
                  <c:v>527.20000000000005</c:v>
                </c:pt>
                <c:pt idx="10">
                  <c:v>482.2</c:v>
                </c:pt>
                <c:pt idx="11">
                  <c:v>413.5</c:v>
                </c:pt>
                <c:pt idx="12">
                  <c:v>388.6</c:v>
                </c:pt>
                <c:pt idx="13">
                  <c:v>352.7</c:v>
                </c:pt>
                <c:pt idx="14">
                  <c:v>400</c:v>
                </c:pt>
                <c:pt idx="15">
                  <c:v>145.80000000000001</c:v>
                </c:pt>
                <c:pt idx="16">
                  <c:v>408.3</c:v>
                </c:pt>
                <c:pt idx="17">
                  <c:v>371.1</c:v>
                </c:pt>
                <c:pt idx="18">
                  <c:v>366</c:v>
                </c:pt>
                <c:pt idx="19">
                  <c:v>362.5</c:v>
                </c:pt>
                <c:pt idx="20">
                  <c:v>445.5</c:v>
                </c:pt>
                <c:pt idx="21">
                  <c:v>607.5</c:v>
                </c:pt>
                <c:pt idx="22">
                  <c:v>479</c:v>
                </c:pt>
                <c:pt idx="23">
                  <c:v>598</c:v>
                </c:pt>
                <c:pt idx="24">
                  <c:v>810</c:v>
                </c:pt>
                <c:pt idx="25">
                  <c:v>856.5</c:v>
                </c:pt>
                <c:pt idx="26">
                  <c:v>967</c:v>
                </c:pt>
                <c:pt idx="27">
                  <c:v>1135.5</c:v>
                </c:pt>
                <c:pt idx="28">
                  <c:v>1523</c:v>
                </c:pt>
                <c:pt idx="29">
                  <c:v>930.5</c:v>
                </c:pt>
                <c:pt idx="30">
                  <c:v>1466</c:v>
                </c:pt>
                <c:pt idx="31">
                  <c:v>1767.75</c:v>
                </c:pt>
                <c:pt idx="32">
                  <c:v>1389.2</c:v>
                </c:pt>
                <c:pt idx="33">
                  <c:v>1538</c:v>
                </c:pt>
                <c:pt idx="34">
                  <c:v>1366.25</c:v>
                </c:pt>
                <c:pt idx="35">
                  <c:v>1204.4000000000001</c:v>
                </c:pt>
                <c:pt idx="36">
                  <c:v>886.5</c:v>
                </c:pt>
                <c:pt idx="37">
                  <c:v>901.5</c:v>
                </c:pt>
                <c:pt idx="38">
                  <c:v>931</c:v>
                </c:pt>
                <c:pt idx="39">
                  <c:v>792</c:v>
                </c:pt>
                <c:pt idx="40">
                  <c:v>967.23</c:v>
                </c:pt>
                <c:pt idx="41">
                  <c:v>1072</c:v>
                </c:pt>
                <c:pt idx="42">
                  <c:v>965</c:v>
                </c:pt>
                <c:pt idx="43">
                  <c:v>1068</c:v>
                </c:pt>
                <c:pt idx="44">
                  <c:v>990</c:v>
                </c:pt>
                <c:pt idx="45">
                  <c:v>910.16</c:v>
                </c:pt>
                <c:pt idx="46">
                  <c:v>1661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E0-48F2-9D76-3589BB837F95}"/>
            </c:ext>
          </c:extLst>
        </c:ser>
        <c:ser>
          <c:idx val="3"/>
          <c:order val="3"/>
          <c:tx>
            <c:strRef>
              <c:f>'DEĞERLİ MADENLER'!$L$1:$N$1</c:f>
              <c:strCache>
                <c:ptCount val="1"/>
                <c:pt idx="0">
                  <c:v>PALLADIUM US$/OZ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MADENLER'!$L$3:$L$49</c:f>
              <c:numCache>
                <c:formatCode>[$$-409]#,##0.00</c:formatCode>
                <c:ptCount val="47"/>
                <c:pt idx="17">
                  <c:v>199</c:v>
                </c:pt>
                <c:pt idx="18">
                  <c:v>202.45</c:v>
                </c:pt>
                <c:pt idx="19">
                  <c:v>337</c:v>
                </c:pt>
                <c:pt idx="20">
                  <c:v>444</c:v>
                </c:pt>
                <c:pt idx="21">
                  <c:v>949.45</c:v>
                </c:pt>
                <c:pt idx="22">
                  <c:v>432</c:v>
                </c:pt>
                <c:pt idx="23">
                  <c:v>230</c:v>
                </c:pt>
                <c:pt idx="24">
                  <c:v>188</c:v>
                </c:pt>
                <c:pt idx="25">
                  <c:v>182.5</c:v>
                </c:pt>
                <c:pt idx="26">
                  <c:v>251.5</c:v>
                </c:pt>
                <c:pt idx="27">
                  <c:v>332</c:v>
                </c:pt>
                <c:pt idx="28">
                  <c:v>366.5</c:v>
                </c:pt>
                <c:pt idx="29">
                  <c:v>185.5</c:v>
                </c:pt>
                <c:pt idx="30">
                  <c:v>405</c:v>
                </c:pt>
                <c:pt idx="31">
                  <c:v>797.25</c:v>
                </c:pt>
                <c:pt idx="32">
                  <c:v>650.49</c:v>
                </c:pt>
                <c:pt idx="33">
                  <c:v>698.5</c:v>
                </c:pt>
                <c:pt idx="34">
                  <c:v>713.75</c:v>
                </c:pt>
                <c:pt idx="35">
                  <c:v>794.9</c:v>
                </c:pt>
                <c:pt idx="36">
                  <c:v>560.70000000000005</c:v>
                </c:pt>
                <c:pt idx="37">
                  <c:v>680</c:v>
                </c:pt>
                <c:pt idx="38">
                  <c:v>1065</c:v>
                </c:pt>
                <c:pt idx="39">
                  <c:v>1265.5</c:v>
                </c:pt>
                <c:pt idx="40">
                  <c:v>1945.97</c:v>
                </c:pt>
                <c:pt idx="41">
                  <c:v>2464</c:v>
                </c:pt>
                <c:pt idx="42">
                  <c:v>1902.5</c:v>
                </c:pt>
                <c:pt idx="43">
                  <c:v>1800.5</c:v>
                </c:pt>
                <c:pt idx="44">
                  <c:v>1101.5</c:v>
                </c:pt>
                <c:pt idx="45">
                  <c:v>910.52</c:v>
                </c:pt>
                <c:pt idx="46">
                  <c:v>1465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E0-48F2-9D76-3589BB83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907312"/>
        <c:axId val="755902632"/>
      </c:lineChart>
      <c:catAx>
        <c:axId val="755907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55902632"/>
        <c:crosses val="autoZero"/>
        <c:auto val="1"/>
        <c:lblAlgn val="ctr"/>
        <c:lblOffset val="100"/>
        <c:noMultiLvlLbl val="0"/>
      </c:catAx>
      <c:valAx>
        <c:axId val="755902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5590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YÜZDELİK DEĞERLER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GOLD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MADENLER'!$C$3:$C$48</c:f>
              <c:numCache>
                <c:formatCode>0.00%</c:formatCode>
                <c:ptCount val="46"/>
                <c:pt idx="0">
                  <c:v>3.8755555555555474E-2</c:v>
                </c:pt>
                <c:pt idx="1">
                  <c:v>-0.3244908437446517</c:v>
                </c:pt>
                <c:pt idx="2">
                  <c:v>0.14137319483151764</c:v>
                </c:pt>
                <c:pt idx="3">
                  <c:v>-0.15427302996670367</c:v>
                </c:pt>
                <c:pt idx="4">
                  <c:v>-0.20393700787401572</c:v>
                </c:pt>
                <c:pt idx="5">
                  <c:v>7.8140454995054356E-2</c:v>
                </c:pt>
                <c:pt idx="6">
                  <c:v>0.22782874617737003</c:v>
                </c:pt>
                <c:pt idx="7">
                  <c:v>0.19352428393524282</c:v>
                </c:pt>
                <c:pt idx="8">
                  <c:v>-0.14273789649415689</c:v>
                </c:pt>
                <c:pt idx="9">
                  <c:v>-2.726387536514116E-2</c:v>
                </c:pt>
                <c:pt idx="10">
                  <c:v>-1.6516516516516571E-2</c:v>
                </c:pt>
                <c:pt idx="11">
                  <c:v>-0.10407124681933837</c:v>
                </c:pt>
                <c:pt idx="12">
                  <c:v>-5.4813973303038936E-2</c:v>
                </c:pt>
                <c:pt idx="13">
                  <c:v>0.18299278846153838</c:v>
                </c:pt>
                <c:pt idx="14">
                  <c:v>-3.5814071628143172E-2</c:v>
                </c:pt>
                <c:pt idx="15">
                  <c:v>2.107481559536354E-2</c:v>
                </c:pt>
                <c:pt idx="16">
                  <c:v>-5.6501547987616182E-2</c:v>
                </c:pt>
                <c:pt idx="17">
                  <c:v>-0.22996992070002725</c:v>
                </c:pt>
                <c:pt idx="18">
                  <c:v>2.0951704545454464E-2</c:v>
                </c:pt>
                <c:pt idx="19">
                  <c:v>1.7391304347826088E-3</c:v>
                </c:pt>
                <c:pt idx="20">
                  <c:v>-5.3993055555555593E-2</c:v>
                </c:pt>
                <c:pt idx="21">
                  <c:v>2.2939988988805286E-2</c:v>
                </c:pt>
                <c:pt idx="22">
                  <c:v>0.24793684965913176</c:v>
                </c:pt>
                <c:pt idx="23">
                  <c:v>0.1949396204715354</c:v>
                </c:pt>
                <c:pt idx="24">
                  <c:v>5.3897978825793974E-2</c:v>
                </c:pt>
                <c:pt idx="25">
                  <c:v>0.1713470319634702</c:v>
                </c:pt>
                <c:pt idx="26">
                  <c:v>0.24013254068804221</c:v>
                </c:pt>
                <c:pt idx="27">
                  <c:v>0.30970530451866396</c:v>
                </c:pt>
                <c:pt idx="28">
                  <c:v>5.6606264250570117E-2</c:v>
                </c:pt>
                <c:pt idx="29">
                  <c:v>0.24518722954785499</c:v>
                </c:pt>
                <c:pt idx="30">
                  <c:v>0.29470515802435371</c:v>
                </c:pt>
                <c:pt idx="31">
                  <c:v>0.105125224558808</c:v>
                </c:pt>
                <c:pt idx="32">
                  <c:v>6.800028049239154E-2</c:v>
                </c:pt>
                <c:pt idx="33">
                  <c:v>-0.28050425585254329</c:v>
                </c:pt>
                <c:pt idx="34">
                  <c:v>-1.927990708478514E-2</c:v>
                </c:pt>
                <c:pt idx="35">
                  <c:v>-0.10232117479867364</c:v>
                </c:pt>
                <c:pt idx="36">
                  <c:v>8.5082924990576667E-2</c:v>
                </c:pt>
                <c:pt idx="37">
                  <c:v>0.13119523400116365</c:v>
                </c:pt>
                <c:pt idx="38">
                  <c:v>-1.5592371944478524E-2</c:v>
                </c:pt>
                <c:pt idx="39">
                  <c:v>0.18362253850653151</c:v>
                </c:pt>
                <c:pt idx="40">
                  <c:v>0.25062265269816159</c:v>
                </c:pt>
                <c:pt idx="41">
                  <c:v>-3.6916446706391194E-2</c:v>
                </c:pt>
                <c:pt idx="42">
                  <c:v>-2.4452954048140192E-3</c:v>
                </c:pt>
                <c:pt idx="43">
                  <c:v>0.13114673188815093</c:v>
                </c:pt>
                <c:pt idx="44">
                  <c:v>0.27204413675412586</c:v>
                </c:pt>
                <c:pt idx="45">
                  <c:v>0.5694674177344482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F-4542-8CE3-B324C275546F}"/>
            </c:ext>
          </c:extLst>
        </c:ser>
        <c:ser>
          <c:idx val="1"/>
          <c:order val="1"/>
          <c:tx>
            <c:v>SILVER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MADENLER'!$G$3:$G$48</c:f>
              <c:numCache>
                <c:formatCode>0.00%</c:formatCode>
                <c:ptCount val="46"/>
                <c:pt idx="0">
                  <c:v>-0.58543046357615902</c:v>
                </c:pt>
                <c:pt idx="1">
                  <c:v>-0.48753993610223645</c:v>
                </c:pt>
                <c:pt idx="2">
                  <c:v>0.36533665835411472</c:v>
                </c:pt>
                <c:pt idx="3">
                  <c:v>-0.21643835616438351</c:v>
                </c:pt>
                <c:pt idx="4">
                  <c:v>-0.28321678321678317</c:v>
                </c:pt>
                <c:pt idx="5">
                  <c:v>-6.829268292682926E-2</c:v>
                </c:pt>
                <c:pt idx="6">
                  <c:v>-5.06108202443281E-2</c:v>
                </c:pt>
                <c:pt idx="7">
                  <c:v>0.1985294117647057</c:v>
                </c:pt>
                <c:pt idx="8">
                  <c:v>-6.9018404907975353E-2</c:v>
                </c:pt>
                <c:pt idx="9">
                  <c:v>-0.14168039538714997</c:v>
                </c:pt>
                <c:pt idx="10">
                  <c:v>-0.20729366602687141</c:v>
                </c:pt>
                <c:pt idx="11">
                  <c:v>-6.5375302663438259E-2</c:v>
                </c:pt>
                <c:pt idx="12">
                  <c:v>-5.699481865284968E-2</c:v>
                </c:pt>
                <c:pt idx="13">
                  <c:v>0.40109890109890095</c:v>
                </c:pt>
                <c:pt idx="14">
                  <c:v>-7.2549019607842991E-2</c:v>
                </c:pt>
                <c:pt idx="15">
                  <c:v>0.14164904862579278</c:v>
                </c:pt>
                <c:pt idx="16">
                  <c:v>-0.12037037037037043</c:v>
                </c:pt>
                <c:pt idx="17">
                  <c:v>0.24631578947368418</c:v>
                </c:pt>
                <c:pt idx="18">
                  <c:v>-0.16891891891891891</c:v>
                </c:pt>
                <c:pt idx="19">
                  <c:v>9.7560975609756184E-2</c:v>
                </c:pt>
                <c:pt idx="20">
                  <c:v>-0.14814814814814828</c:v>
                </c:pt>
                <c:pt idx="21">
                  <c:v>2.1739130434784079E-3</c:v>
                </c:pt>
                <c:pt idx="22">
                  <c:v>3.4707158351409813E-2</c:v>
                </c:pt>
                <c:pt idx="23">
                  <c:v>0.24318658280922437</c:v>
                </c:pt>
                <c:pt idx="24">
                  <c:v>0.14502529510961221</c:v>
                </c:pt>
                <c:pt idx="25">
                  <c:v>0.29749631811487487</c:v>
                </c:pt>
                <c:pt idx="26">
                  <c:v>0.46083995459704863</c:v>
                </c:pt>
                <c:pt idx="27">
                  <c:v>0.14763014763014767</c:v>
                </c:pt>
                <c:pt idx="28">
                  <c:v>-0.2301963439404198</c:v>
                </c:pt>
                <c:pt idx="29">
                  <c:v>0.48109058927000886</c:v>
                </c:pt>
                <c:pt idx="30">
                  <c:v>0.83254156769596199</c:v>
                </c:pt>
                <c:pt idx="31">
                  <c:v>-9.8185353208036327E-2</c:v>
                </c:pt>
                <c:pt idx="32">
                  <c:v>8.9471793029105365E-2</c:v>
                </c:pt>
                <c:pt idx="33">
                  <c:v>-0.35850923482849606</c:v>
                </c:pt>
                <c:pt idx="34">
                  <c:v>-0.19434447300771204</c:v>
                </c:pt>
                <c:pt idx="35">
                  <c:v>-0.11678366305041481</c:v>
                </c:pt>
                <c:pt idx="36">
                  <c:v>0.1473988439306359</c:v>
                </c:pt>
                <c:pt idx="37">
                  <c:v>6.4861460957178804E-2</c:v>
                </c:pt>
                <c:pt idx="38">
                  <c:v>-8.5748078060319297E-2</c:v>
                </c:pt>
                <c:pt idx="39">
                  <c:v>0.15459249676584738</c:v>
                </c:pt>
                <c:pt idx="40">
                  <c:v>0.47619047619047616</c:v>
                </c:pt>
                <c:pt idx="41">
                  <c:v>-0.11650853889943075</c:v>
                </c:pt>
                <c:pt idx="42">
                  <c:v>2.8780068728522255E-2</c:v>
                </c:pt>
                <c:pt idx="43">
                  <c:v>-7.5156576200417421E-3</c:v>
                </c:pt>
                <c:pt idx="44">
                  <c:v>0.21539755994951623</c:v>
                </c:pt>
                <c:pt idx="45">
                  <c:v>0.70335756317064724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F-4542-8CE3-B324C275546F}"/>
            </c:ext>
          </c:extLst>
        </c:ser>
        <c:ser>
          <c:idx val="2"/>
          <c:order val="2"/>
          <c:tx>
            <c:v>PLATINUM</c:v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MADENLER'!$J$3:$J$48</c:f>
              <c:numCache>
                <c:formatCode>0.00%</c:formatCode>
                <c:ptCount val="46"/>
                <c:pt idx="0">
                  <c:v>-0.15292001107113201</c:v>
                </c:pt>
                <c:pt idx="1">
                  <c:v>-0.36693350759679794</c:v>
                </c:pt>
                <c:pt idx="2">
                  <c:v>4.0774193548387128E-2</c:v>
                </c:pt>
                <c:pt idx="3">
                  <c:v>-3.8432928341185224E-2</c:v>
                </c:pt>
                <c:pt idx="4">
                  <c:v>-0.28004125838060862</c:v>
                </c:pt>
                <c:pt idx="5">
                  <c:v>0.24283667621776509</c:v>
                </c:pt>
                <c:pt idx="6">
                  <c:v>0.37579250720461088</c:v>
                </c:pt>
                <c:pt idx="7">
                  <c:v>5.2576455802262306E-2</c:v>
                </c:pt>
                <c:pt idx="8">
                  <c:v>4.9154228855721481E-2</c:v>
                </c:pt>
                <c:pt idx="9">
                  <c:v>-8.5356600910470509E-2</c:v>
                </c:pt>
                <c:pt idx="10">
                  <c:v>-0.14247200331812523</c:v>
                </c:pt>
                <c:pt idx="11">
                  <c:v>-6.0217654171704903E-2</c:v>
                </c:pt>
                <c:pt idx="12">
                  <c:v>-9.2382913021101479E-2</c:v>
                </c:pt>
                <c:pt idx="13">
                  <c:v>0.13410830734335133</c:v>
                </c:pt>
                <c:pt idx="14">
                  <c:v>-0.63549999999999995</c:v>
                </c:pt>
                <c:pt idx="15">
                  <c:v>1.8004115226337447</c:v>
                </c:pt>
                <c:pt idx="16">
                  <c:v>-9.110947832476117E-2</c:v>
                </c:pt>
                <c:pt idx="17">
                  <c:v>-1.3742926434923261E-2</c:v>
                </c:pt>
                <c:pt idx="18">
                  <c:v>-9.562841530054645E-3</c:v>
                </c:pt>
                <c:pt idx="19">
                  <c:v>0.22896551724137931</c:v>
                </c:pt>
                <c:pt idx="20">
                  <c:v>0.36363636363636365</c:v>
                </c:pt>
                <c:pt idx="21">
                  <c:v>-0.21152263374485597</c:v>
                </c:pt>
                <c:pt idx="22">
                  <c:v>0.24843423799582465</c:v>
                </c:pt>
                <c:pt idx="23">
                  <c:v>0.35451505016722407</c:v>
                </c:pt>
                <c:pt idx="24">
                  <c:v>5.7407407407407407E-2</c:v>
                </c:pt>
                <c:pt idx="25">
                  <c:v>0.1290134267367192</c:v>
                </c:pt>
                <c:pt idx="26">
                  <c:v>0.17425025853154086</c:v>
                </c:pt>
                <c:pt idx="27">
                  <c:v>0.34125935711140465</c:v>
                </c:pt>
                <c:pt idx="28">
                  <c:v>-0.38903479973736049</c:v>
                </c:pt>
                <c:pt idx="29">
                  <c:v>0.57549704459967754</c:v>
                </c:pt>
                <c:pt idx="30">
                  <c:v>0.20583219645293316</c:v>
                </c:pt>
                <c:pt idx="31">
                  <c:v>-0.21414227124876253</c:v>
                </c:pt>
                <c:pt idx="32">
                  <c:v>0.10711200691045203</c:v>
                </c:pt>
                <c:pt idx="33">
                  <c:v>-0.11167100130039012</c:v>
                </c:pt>
                <c:pt idx="34">
                  <c:v>-0.11846294602012802</c:v>
                </c:pt>
                <c:pt idx="35">
                  <c:v>-0.26394885420126207</c:v>
                </c:pt>
                <c:pt idx="36">
                  <c:v>1.6920473773265651E-2</c:v>
                </c:pt>
                <c:pt idx="37">
                  <c:v>3.2723239046034386E-2</c:v>
                </c:pt>
                <c:pt idx="38">
                  <c:v>-0.14930182599355532</c:v>
                </c:pt>
                <c:pt idx="39">
                  <c:v>0.22125000000000003</c:v>
                </c:pt>
                <c:pt idx="40">
                  <c:v>0.10831963441994147</c:v>
                </c:pt>
                <c:pt idx="41">
                  <c:v>-9.9813432835820892E-2</c:v>
                </c:pt>
                <c:pt idx="42">
                  <c:v>0.10673575129533679</c:v>
                </c:pt>
                <c:pt idx="43">
                  <c:v>-7.3033707865168537E-2</c:v>
                </c:pt>
                <c:pt idx="44">
                  <c:v>-8.0646464646464674E-2</c:v>
                </c:pt>
                <c:pt idx="45">
                  <c:v>0.82495385426738166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F-4542-8CE3-B324C275546F}"/>
            </c:ext>
          </c:extLst>
        </c:ser>
        <c:ser>
          <c:idx val="3"/>
          <c:order val="3"/>
          <c:tx>
            <c:v>PALLADIUM</c:v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'DEĞERLİ MADENLER'!$A$3:$A$49</c:f>
              <c:numCache>
                <c:formatCode>General</c:formatCode>
                <c:ptCount val="4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</c:numCache>
            </c:numRef>
          </c:cat>
          <c:val>
            <c:numRef>
              <c:f>'DEĞERLİ MADENLER'!$M$3:$M$48</c:f>
              <c:numCache>
                <c:formatCode>0.00%</c:formatCode>
                <c:ptCount val="46"/>
                <c:pt idx="17">
                  <c:v>1.7336683417085368E-2</c:v>
                </c:pt>
                <c:pt idx="18">
                  <c:v>0.66460854531983216</c:v>
                </c:pt>
                <c:pt idx="19">
                  <c:v>0.31750741839762614</c:v>
                </c:pt>
                <c:pt idx="20">
                  <c:v>1.1384009009009011</c:v>
                </c:pt>
                <c:pt idx="21">
                  <c:v>-0.54499973668966251</c:v>
                </c:pt>
                <c:pt idx="22">
                  <c:v>-0.46759259259259262</c:v>
                </c:pt>
                <c:pt idx="23">
                  <c:v>-0.18260869565217391</c:v>
                </c:pt>
                <c:pt idx="24">
                  <c:v>-2.9255319148936171E-2</c:v>
                </c:pt>
                <c:pt idx="25">
                  <c:v>0.37808219178082192</c:v>
                </c:pt>
                <c:pt idx="26">
                  <c:v>0.32007952286282304</c:v>
                </c:pt>
                <c:pt idx="27">
                  <c:v>0.10391566265060241</c:v>
                </c:pt>
                <c:pt idx="28">
                  <c:v>-0.49386084583901774</c:v>
                </c:pt>
                <c:pt idx="29">
                  <c:v>1.1832884097035041</c:v>
                </c:pt>
                <c:pt idx="30">
                  <c:v>0.96851851851851856</c:v>
                </c:pt>
                <c:pt idx="31">
                  <c:v>-0.18408278457196611</c:v>
                </c:pt>
                <c:pt idx="32">
                  <c:v>7.3805900167565969E-2</c:v>
                </c:pt>
                <c:pt idx="33">
                  <c:v>2.1832498210450968E-2</c:v>
                </c:pt>
                <c:pt idx="34">
                  <c:v>0.11369527145359017</c:v>
                </c:pt>
                <c:pt idx="35">
                  <c:v>-0.29462825512643093</c:v>
                </c:pt>
                <c:pt idx="36">
                  <c:v>0.21276975209559471</c:v>
                </c:pt>
                <c:pt idx="37">
                  <c:v>0.56617647058823528</c:v>
                </c:pt>
                <c:pt idx="38">
                  <c:v>0.18826291079812207</c:v>
                </c:pt>
                <c:pt idx="39">
                  <c:v>0.5377084156459897</c:v>
                </c:pt>
                <c:pt idx="40">
                  <c:v>0.2662065705021146</c:v>
                </c:pt>
                <c:pt idx="41">
                  <c:v>-0.2278814935064935</c:v>
                </c:pt>
                <c:pt idx="42">
                  <c:v>-5.3613666228646516E-2</c:v>
                </c:pt>
                <c:pt idx="43">
                  <c:v>-0.38822549291863373</c:v>
                </c:pt>
                <c:pt idx="44">
                  <c:v>-0.17338175215615073</c:v>
                </c:pt>
                <c:pt idx="45">
                  <c:v>0.60897069806264559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0F-4542-8CE3-B324C2755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52092424"/>
        <c:axId val="552082704"/>
      </c:barChart>
      <c:catAx>
        <c:axId val="552092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52082704"/>
        <c:crosses val="autoZero"/>
        <c:auto val="1"/>
        <c:lblAlgn val="ctr"/>
        <c:lblOffset val="100"/>
        <c:noMultiLvlLbl val="0"/>
      </c:catAx>
      <c:valAx>
        <c:axId val="552082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5209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52830</xdr:rowOff>
    </xdr:from>
    <xdr:to>
      <xdr:col>22</xdr:col>
      <xdr:colOff>594360</xdr:colOff>
      <xdr:row>28</xdr:row>
      <xdr:rowOff>1524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6DA942C-1D57-DA8D-53E7-DFB6F0C78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134112</xdr:rowOff>
    </xdr:from>
    <xdr:to>
      <xdr:col>23</xdr:col>
      <xdr:colOff>68580</xdr:colOff>
      <xdr:row>28</xdr:row>
      <xdr:rowOff>56388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7F7B5FF-B338-16AE-E363-370629E7F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BC5D-71AD-4154-8117-8C839E9319FD}">
  <dimension ref="A1:B7"/>
  <sheetViews>
    <sheetView tabSelected="1" workbookViewId="0">
      <selection activeCell="A3" sqref="A3:B3"/>
    </sheetView>
  </sheetViews>
  <sheetFormatPr defaultRowHeight="14.4" x14ac:dyDescent="0.3"/>
  <cols>
    <col min="1" max="1" width="36.5546875" bestFit="1" customWidth="1"/>
    <col min="2" max="2" width="98" bestFit="1" customWidth="1"/>
  </cols>
  <sheetData>
    <row r="1" spans="1:2" ht="25.8" x14ac:dyDescent="0.5">
      <c r="A1" s="10" t="s">
        <v>78</v>
      </c>
      <c r="B1" s="11" t="s">
        <v>80</v>
      </c>
    </row>
    <row r="2" spans="1:2" ht="25.8" x14ac:dyDescent="0.5">
      <c r="A2" s="12" t="s">
        <v>79</v>
      </c>
      <c r="B2" s="13">
        <v>45953</v>
      </c>
    </row>
    <row r="3" spans="1:2" ht="15.6" x14ac:dyDescent="0.3">
      <c r="A3" s="18" t="s">
        <v>82</v>
      </c>
      <c r="B3" s="19"/>
    </row>
    <row r="4" spans="1:2" ht="21" x14ac:dyDescent="0.4">
      <c r="A4" s="20" t="s">
        <v>81</v>
      </c>
      <c r="B4" s="21"/>
    </row>
    <row r="5" spans="1:2" ht="26.4" thickBot="1" x14ac:dyDescent="0.55000000000000004">
      <c r="A5" s="22" t="s">
        <v>149</v>
      </c>
      <c r="B5" s="23"/>
    </row>
    <row r="6" spans="1:2" ht="18" x14ac:dyDescent="0.35">
      <c r="A6" s="24" t="s">
        <v>139</v>
      </c>
      <c r="B6" s="25"/>
    </row>
    <row r="7" spans="1:2" ht="21" x14ac:dyDescent="0.4">
      <c r="A7" s="26" t="s">
        <v>148</v>
      </c>
      <c r="B7" s="27"/>
    </row>
  </sheetData>
  <mergeCells count="5"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opLeftCell="A18" zoomScale="80" zoomScaleNormal="80" workbookViewId="0">
      <pane xSplit="1" topLeftCell="E1" activePane="topRight" state="frozen"/>
      <selection pane="topRight" activeCell="L50" sqref="L50:N50"/>
    </sheetView>
  </sheetViews>
  <sheetFormatPr defaultRowHeight="14.4" x14ac:dyDescent="0.3"/>
  <cols>
    <col min="1" max="1" width="8.5546875" bestFit="1" customWidth="1"/>
    <col min="2" max="2" width="10.5546875" customWidth="1"/>
    <col min="3" max="3" width="19.88671875" bestFit="1" customWidth="1"/>
    <col min="4" max="4" width="51.6640625" bestFit="1" customWidth="1"/>
    <col min="5" max="5" width="9.21875" customWidth="1"/>
    <col min="6" max="6" width="14.5546875" bestFit="1" customWidth="1"/>
    <col min="7" max="7" width="19.88671875" bestFit="1" customWidth="1"/>
    <col min="8" max="8" width="46.109375" bestFit="1" customWidth="1"/>
    <col min="9" max="9" width="10.5546875" customWidth="1"/>
    <col min="10" max="10" width="19.88671875" bestFit="1" customWidth="1"/>
    <col min="11" max="11" width="49.21875" bestFit="1" customWidth="1"/>
    <col min="12" max="12" width="10.5546875" customWidth="1"/>
    <col min="13" max="13" width="19.88671875" bestFit="1" customWidth="1"/>
    <col min="14" max="14" width="56.109375" bestFit="1" customWidth="1"/>
  </cols>
  <sheetData>
    <row r="1" spans="1:14" ht="21" x14ac:dyDescent="0.3">
      <c r="A1" s="9"/>
      <c r="B1" s="37" t="s">
        <v>77</v>
      </c>
      <c r="C1" s="38"/>
      <c r="D1" s="39"/>
      <c r="E1" s="34" t="s">
        <v>84</v>
      </c>
      <c r="F1" s="35"/>
      <c r="G1" s="35"/>
      <c r="H1" s="36"/>
      <c r="I1" s="28" t="s">
        <v>85</v>
      </c>
      <c r="J1" s="29"/>
      <c r="K1" s="30"/>
      <c r="L1" s="28" t="s">
        <v>117</v>
      </c>
      <c r="M1" s="29"/>
      <c r="N1" s="30"/>
    </row>
    <row r="2" spans="1:14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76</v>
      </c>
      <c r="G2" s="1" t="s">
        <v>2</v>
      </c>
      <c r="H2" s="1" t="s">
        <v>3</v>
      </c>
      <c r="I2" s="1" t="s">
        <v>1</v>
      </c>
      <c r="J2" s="1" t="s">
        <v>2</v>
      </c>
      <c r="K2" s="1" t="s">
        <v>3</v>
      </c>
      <c r="L2" s="1" t="s">
        <v>1</v>
      </c>
      <c r="M2" s="1" t="s">
        <v>2</v>
      </c>
      <c r="N2" s="1" t="s">
        <v>3</v>
      </c>
    </row>
    <row r="3" spans="1:14" ht="15.6" x14ac:dyDescent="0.3">
      <c r="A3" s="3">
        <v>1980</v>
      </c>
      <c r="B3" s="4">
        <v>562.5</v>
      </c>
      <c r="C3" s="5">
        <f>(B4-B3)/B3</f>
        <v>3.8755555555555474E-2</v>
      </c>
      <c r="D3" s="2" t="s">
        <v>5</v>
      </c>
      <c r="E3" s="4">
        <v>37.75</v>
      </c>
      <c r="F3" s="4">
        <f>E3*100</f>
        <v>3775</v>
      </c>
      <c r="G3" s="5">
        <f t="shared" ref="G3:G48" si="0">(E4-E3)/E3</f>
        <v>-0.58543046357615902</v>
      </c>
      <c r="H3" t="s">
        <v>48</v>
      </c>
      <c r="I3" s="4">
        <v>722.6</v>
      </c>
      <c r="J3" s="5">
        <f>(I4-I3)/I3</f>
        <v>-0.15292001107113201</v>
      </c>
      <c r="K3" t="s">
        <v>86</v>
      </c>
      <c r="L3" s="4"/>
      <c r="M3" s="5"/>
    </row>
    <row r="4" spans="1:14" ht="15.6" x14ac:dyDescent="0.3">
      <c r="A4" s="3">
        <v>1981</v>
      </c>
      <c r="B4" s="4">
        <v>584.29999999999995</v>
      </c>
      <c r="C4" s="5">
        <f t="shared" ref="C4:C48" si="1">(B5-B4)/B4</f>
        <v>-0.3244908437446517</v>
      </c>
      <c r="D4" t="s">
        <v>6</v>
      </c>
      <c r="E4" s="4">
        <v>15.65</v>
      </c>
      <c r="F4" s="4">
        <f t="shared" ref="F4:F48" si="2">E4*100</f>
        <v>1565</v>
      </c>
      <c r="G4" s="5">
        <f t="shared" si="0"/>
        <v>-0.48753993610223645</v>
      </c>
      <c r="H4" t="s">
        <v>49</v>
      </c>
      <c r="I4" s="4">
        <v>612.1</v>
      </c>
      <c r="J4" s="5">
        <f t="shared" ref="J4:J48" si="3">(I5-I4)/I4</f>
        <v>-0.36693350759679794</v>
      </c>
      <c r="K4" t="s">
        <v>49</v>
      </c>
      <c r="L4" s="4"/>
      <c r="M4" s="5"/>
    </row>
    <row r="5" spans="1:14" ht="15.6" x14ac:dyDescent="0.3">
      <c r="A5" s="3">
        <v>1982</v>
      </c>
      <c r="B5" s="4">
        <v>394.7</v>
      </c>
      <c r="C5" s="5">
        <f t="shared" si="1"/>
        <v>0.14137319483151764</v>
      </c>
      <c r="D5" t="s">
        <v>7</v>
      </c>
      <c r="E5" s="4">
        <v>8.02</v>
      </c>
      <c r="F5" s="4">
        <f t="shared" si="2"/>
        <v>802</v>
      </c>
      <c r="G5" s="5">
        <f t="shared" si="0"/>
        <v>0.36533665835411472</v>
      </c>
      <c r="H5" t="s">
        <v>50</v>
      </c>
      <c r="I5" s="4">
        <v>387.5</v>
      </c>
      <c r="J5" s="5">
        <f t="shared" si="3"/>
        <v>4.0774193548387128E-2</v>
      </c>
      <c r="K5" t="s">
        <v>50</v>
      </c>
      <c r="L5" s="4"/>
      <c r="M5" s="5"/>
    </row>
    <row r="6" spans="1:14" ht="15.6" x14ac:dyDescent="0.3">
      <c r="A6" s="3">
        <v>1983</v>
      </c>
      <c r="B6" s="4">
        <v>450.5</v>
      </c>
      <c r="C6" s="5">
        <f t="shared" si="1"/>
        <v>-0.15427302996670367</v>
      </c>
      <c r="D6" t="s">
        <v>8</v>
      </c>
      <c r="E6" s="4">
        <v>10.95</v>
      </c>
      <c r="F6" s="4">
        <f t="shared" si="2"/>
        <v>1095</v>
      </c>
      <c r="G6" s="5">
        <f t="shared" si="0"/>
        <v>-0.21643835616438351</v>
      </c>
      <c r="H6" t="s">
        <v>8</v>
      </c>
      <c r="I6" s="4">
        <v>403.3</v>
      </c>
      <c r="J6" s="5">
        <f t="shared" si="3"/>
        <v>-3.8432928341185224E-2</v>
      </c>
      <c r="K6" t="s">
        <v>87</v>
      </c>
      <c r="L6" s="4"/>
      <c r="M6" s="5"/>
    </row>
    <row r="7" spans="1:14" ht="15.6" x14ac:dyDescent="0.3">
      <c r="A7" s="3">
        <v>1984</v>
      </c>
      <c r="B7" s="4">
        <v>381</v>
      </c>
      <c r="C7" s="5">
        <f t="shared" si="1"/>
        <v>-0.20393700787401572</v>
      </c>
      <c r="D7" t="s">
        <v>9</v>
      </c>
      <c r="E7" s="4">
        <v>8.58</v>
      </c>
      <c r="F7" s="4">
        <f t="shared" si="2"/>
        <v>858</v>
      </c>
      <c r="G7" s="5">
        <f t="shared" si="0"/>
        <v>-0.28321678321678317</v>
      </c>
      <c r="H7" t="s">
        <v>9</v>
      </c>
      <c r="I7" s="4">
        <v>387.8</v>
      </c>
      <c r="J7" s="5">
        <f t="shared" si="3"/>
        <v>-0.28004125838060862</v>
      </c>
      <c r="K7" t="s">
        <v>9</v>
      </c>
      <c r="L7" s="4"/>
      <c r="M7" s="5"/>
    </row>
    <row r="8" spans="1:14" ht="15.6" x14ac:dyDescent="0.3">
      <c r="A8" s="3">
        <v>1985</v>
      </c>
      <c r="B8" s="4">
        <v>303.3</v>
      </c>
      <c r="C8" s="5">
        <f t="shared" si="1"/>
        <v>7.8140454995054356E-2</v>
      </c>
      <c r="D8" t="s">
        <v>10</v>
      </c>
      <c r="E8" s="4">
        <v>6.15</v>
      </c>
      <c r="F8" s="4">
        <f t="shared" si="2"/>
        <v>615</v>
      </c>
      <c r="G8" s="5">
        <f t="shared" si="0"/>
        <v>-6.829268292682926E-2</v>
      </c>
      <c r="H8" t="s">
        <v>51</v>
      </c>
      <c r="I8" s="4">
        <v>279.2</v>
      </c>
      <c r="J8" s="5">
        <f t="shared" si="3"/>
        <v>0.24283667621776509</v>
      </c>
      <c r="K8" t="s">
        <v>51</v>
      </c>
      <c r="L8" s="4"/>
      <c r="M8" s="5"/>
    </row>
    <row r="9" spans="1:14" ht="15.6" x14ac:dyDescent="0.3">
      <c r="A9" s="3">
        <v>1986</v>
      </c>
      <c r="B9" s="4">
        <v>327</v>
      </c>
      <c r="C9" s="5">
        <f t="shared" si="1"/>
        <v>0.22782874617737003</v>
      </c>
      <c r="D9" t="s">
        <v>11</v>
      </c>
      <c r="E9" s="4">
        <v>5.73</v>
      </c>
      <c r="F9" s="4">
        <f t="shared" si="2"/>
        <v>573</v>
      </c>
      <c r="G9" s="5">
        <f t="shared" si="0"/>
        <v>-5.06108202443281E-2</v>
      </c>
      <c r="H9" t="s">
        <v>52</v>
      </c>
      <c r="I9" s="4">
        <v>347</v>
      </c>
      <c r="J9" s="5">
        <f t="shared" si="3"/>
        <v>0.37579250720461088</v>
      </c>
      <c r="K9" t="s">
        <v>88</v>
      </c>
      <c r="L9" s="4"/>
      <c r="M9" s="5"/>
    </row>
    <row r="10" spans="1:14" ht="15.6" x14ac:dyDescent="0.3">
      <c r="A10" s="3">
        <v>1987</v>
      </c>
      <c r="B10" s="4">
        <v>401.5</v>
      </c>
      <c r="C10" s="5">
        <f t="shared" si="1"/>
        <v>0.19352428393524282</v>
      </c>
      <c r="D10" t="s">
        <v>12</v>
      </c>
      <c r="E10" s="4">
        <v>5.44</v>
      </c>
      <c r="F10" s="4">
        <f t="shared" si="2"/>
        <v>544</v>
      </c>
      <c r="G10" s="5">
        <f t="shared" si="0"/>
        <v>0.1985294117647057</v>
      </c>
      <c r="H10" t="s">
        <v>12</v>
      </c>
      <c r="I10" s="4">
        <v>477.4</v>
      </c>
      <c r="J10" s="5">
        <f t="shared" si="3"/>
        <v>5.2576455802262306E-2</v>
      </c>
      <c r="K10" t="s">
        <v>12</v>
      </c>
      <c r="L10" s="4"/>
      <c r="M10" s="5"/>
    </row>
    <row r="11" spans="1:14" ht="15.6" x14ac:dyDescent="0.3">
      <c r="A11" s="3">
        <v>1988</v>
      </c>
      <c r="B11" s="4">
        <v>479.2</v>
      </c>
      <c r="C11" s="5">
        <f t="shared" si="1"/>
        <v>-0.14273789649415689</v>
      </c>
      <c r="D11" t="s">
        <v>13</v>
      </c>
      <c r="E11" s="4">
        <v>6.52</v>
      </c>
      <c r="F11" s="4">
        <f t="shared" si="2"/>
        <v>652</v>
      </c>
      <c r="G11" s="5">
        <f t="shared" si="0"/>
        <v>-6.9018404907975353E-2</v>
      </c>
      <c r="H11" t="s">
        <v>17</v>
      </c>
      <c r="I11" s="4">
        <v>502.5</v>
      </c>
      <c r="J11" s="5">
        <f t="shared" si="3"/>
        <v>4.9154228855721481E-2</v>
      </c>
      <c r="K11" t="s">
        <v>70</v>
      </c>
      <c r="L11" s="4"/>
      <c r="M11" s="5"/>
    </row>
    <row r="12" spans="1:14" ht="15.6" x14ac:dyDescent="0.3">
      <c r="A12" s="3">
        <v>1989</v>
      </c>
      <c r="B12" s="4">
        <v>410.8</v>
      </c>
      <c r="C12" s="5">
        <f t="shared" si="1"/>
        <v>-2.726387536514116E-2</v>
      </c>
      <c r="D12" t="s">
        <v>14</v>
      </c>
      <c r="E12" s="4">
        <v>6.07</v>
      </c>
      <c r="F12" s="4">
        <f t="shared" si="2"/>
        <v>607</v>
      </c>
      <c r="G12" s="5">
        <f t="shared" si="0"/>
        <v>-0.14168039538714997</v>
      </c>
      <c r="H12" t="s">
        <v>53</v>
      </c>
      <c r="I12" s="4">
        <v>527.20000000000005</v>
      </c>
      <c r="J12" s="5">
        <f t="shared" si="3"/>
        <v>-8.5356600910470509E-2</v>
      </c>
      <c r="K12" t="s">
        <v>53</v>
      </c>
      <c r="L12" s="4"/>
      <c r="M12" s="5"/>
    </row>
    <row r="13" spans="1:14" ht="15.6" x14ac:dyDescent="0.3">
      <c r="A13" s="3">
        <v>1990</v>
      </c>
      <c r="B13" s="4">
        <v>399.6</v>
      </c>
      <c r="C13" s="5">
        <f t="shared" si="1"/>
        <v>-1.6516516516516571E-2</v>
      </c>
      <c r="D13" t="s">
        <v>15</v>
      </c>
      <c r="E13" s="4">
        <v>5.21</v>
      </c>
      <c r="F13" s="4">
        <f t="shared" si="2"/>
        <v>521</v>
      </c>
      <c r="G13" s="5">
        <f t="shared" si="0"/>
        <v>-0.20729366602687141</v>
      </c>
      <c r="H13" t="s">
        <v>15</v>
      </c>
      <c r="I13" s="4">
        <v>482.2</v>
      </c>
      <c r="J13" s="5">
        <f t="shared" si="3"/>
        <v>-0.14247200331812523</v>
      </c>
      <c r="K13" t="s">
        <v>15</v>
      </c>
      <c r="L13" s="4"/>
      <c r="M13" s="5"/>
    </row>
    <row r="14" spans="1:14" ht="15.6" x14ac:dyDescent="0.3">
      <c r="A14" s="3">
        <v>1991</v>
      </c>
      <c r="B14" s="4">
        <v>393</v>
      </c>
      <c r="C14" s="5">
        <f t="shared" si="1"/>
        <v>-0.10407124681933837</v>
      </c>
      <c r="D14" t="s">
        <v>16</v>
      </c>
      <c r="E14" s="4">
        <v>4.13</v>
      </c>
      <c r="F14" s="4">
        <f t="shared" si="2"/>
        <v>413</v>
      </c>
      <c r="G14" s="5">
        <f t="shared" si="0"/>
        <v>-6.5375302663438259E-2</v>
      </c>
      <c r="H14" t="s">
        <v>16</v>
      </c>
      <c r="I14" s="4">
        <v>413.5</v>
      </c>
      <c r="J14" s="5">
        <f t="shared" si="3"/>
        <v>-6.0217654171704903E-2</v>
      </c>
      <c r="K14" t="s">
        <v>16</v>
      </c>
      <c r="L14" s="4"/>
      <c r="M14" s="5"/>
    </row>
    <row r="15" spans="1:14" ht="15.6" x14ac:dyDescent="0.3">
      <c r="A15" s="3">
        <v>1992</v>
      </c>
      <c r="B15" s="4">
        <v>352.1</v>
      </c>
      <c r="C15" s="5">
        <f t="shared" si="1"/>
        <v>-5.4813973303038936E-2</v>
      </c>
      <c r="D15" t="s">
        <v>17</v>
      </c>
      <c r="E15" s="4">
        <v>3.86</v>
      </c>
      <c r="F15" s="4">
        <f t="shared" si="2"/>
        <v>386</v>
      </c>
      <c r="G15" s="5">
        <f t="shared" si="0"/>
        <v>-5.699481865284968E-2</v>
      </c>
      <c r="H15" t="s">
        <v>17</v>
      </c>
      <c r="I15" s="4">
        <v>388.6</v>
      </c>
      <c r="J15" s="5">
        <f t="shared" si="3"/>
        <v>-9.2382913021101479E-2</v>
      </c>
      <c r="K15" t="s">
        <v>89</v>
      </c>
      <c r="L15" s="4"/>
      <c r="M15" s="5"/>
    </row>
    <row r="16" spans="1:14" ht="15.6" x14ac:dyDescent="0.3">
      <c r="A16" s="3">
        <v>1993</v>
      </c>
      <c r="B16" s="4">
        <v>332.8</v>
      </c>
      <c r="C16" s="5">
        <f t="shared" si="1"/>
        <v>0.18299278846153838</v>
      </c>
      <c r="D16" t="s">
        <v>18</v>
      </c>
      <c r="E16" s="4">
        <v>3.64</v>
      </c>
      <c r="F16" s="4">
        <f t="shared" si="2"/>
        <v>364</v>
      </c>
      <c r="G16" s="5">
        <f t="shared" si="0"/>
        <v>0.40109890109890095</v>
      </c>
      <c r="H16" t="s">
        <v>54</v>
      </c>
      <c r="I16" s="4">
        <v>352.7</v>
      </c>
      <c r="J16" s="5">
        <f t="shared" si="3"/>
        <v>0.13410830734335133</v>
      </c>
      <c r="K16" t="s">
        <v>90</v>
      </c>
      <c r="L16" s="4"/>
      <c r="M16" s="5"/>
    </row>
    <row r="17" spans="1:14" ht="15.6" x14ac:dyDescent="0.3">
      <c r="A17" s="3">
        <v>1994</v>
      </c>
      <c r="B17" s="4">
        <v>393.7</v>
      </c>
      <c r="C17" s="5">
        <f t="shared" si="1"/>
        <v>-3.5814071628143172E-2</v>
      </c>
      <c r="D17" t="s">
        <v>19</v>
      </c>
      <c r="E17" s="4">
        <v>5.0999999999999996</v>
      </c>
      <c r="F17" s="4">
        <f t="shared" si="2"/>
        <v>509.99999999999994</v>
      </c>
      <c r="G17" s="5">
        <f t="shared" si="0"/>
        <v>-7.2549019607842991E-2</v>
      </c>
      <c r="H17" t="s">
        <v>19</v>
      </c>
      <c r="I17" s="4">
        <v>400</v>
      </c>
      <c r="J17" s="5">
        <f t="shared" si="3"/>
        <v>-0.63549999999999995</v>
      </c>
      <c r="K17" t="s">
        <v>19</v>
      </c>
      <c r="L17" s="4"/>
      <c r="M17" s="5"/>
    </row>
    <row r="18" spans="1:14" ht="15.6" x14ac:dyDescent="0.3">
      <c r="A18" s="3">
        <v>1995</v>
      </c>
      <c r="B18" s="4">
        <v>379.6</v>
      </c>
      <c r="C18" s="5">
        <f t="shared" si="1"/>
        <v>2.107481559536354E-2</v>
      </c>
      <c r="D18" t="s">
        <v>20</v>
      </c>
      <c r="E18" s="4">
        <v>4.7300000000000004</v>
      </c>
      <c r="F18" s="4">
        <f t="shared" si="2"/>
        <v>473.00000000000006</v>
      </c>
      <c r="G18" s="5">
        <f t="shared" si="0"/>
        <v>0.14164904862579278</v>
      </c>
      <c r="H18" t="s">
        <v>20</v>
      </c>
      <c r="I18" s="4">
        <v>145.80000000000001</v>
      </c>
      <c r="J18" s="5">
        <f t="shared" si="3"/>
        <v>1.8004115226337447</v>
      </c>
      <c r="K18" t="s">
        <v>20</v>
      </c>
      <c r="L18" s="4"/>
      <c r="M18" s="5"/>
    </row>
    <row r="19" spans="1:14" ht="15.6" x14ac:dyDescent="0.3">
      <c r="A19" s="3">
        <v>1996</v>
      </c>
      <c r="B19" s="4">
        <v>387.6</v>
      </c>
      <c r="C19" s="5">
        <f t="shared" si="1"/>
        <v>-5.6501547987616182E-2</v>
      </c>
      <c r="D19" t="s">
        <v>21</v>
      </c>
      <c r="E19" s="4">
        <v>5.4</v>
      </c>
      <c r="F19" s="4">
        <f t="shared" si="2"/>
        <v>540</v>
      </c>
      <c r="G19" s="5">
        <f t="shared" si="0"/>
        <v>-0.12037037037037043</v>
      </c>
      <c r="H19" t="s">
        <v>55</v>
      </c>
      <c r="I19" s="4">
        <v>408.3</v>
      </c>
      <c r="J19" s="5">
        <f t="shared" si="3"/>
        <v>-9.110947832476117E-2</v>
      </c>
      <c r="K19" t="s">
        <v>91</v>
      </c>
      <c r="L19" s="4"/>
      <c r="M19" s="5"/>
    </row>
    <row r="20" spans="1:14" ht="15.6" x14ac:dyDescent="0.3">
      <c r="A20" s="3">
        <v>1997</v>
      </c>
      <c r="B20" s="4">
        <v>365.7</v>
      </c>
      <c r="C20" s="5">
        <f t="shared" si="1"/>
        <v>-0.22996992070002725</v>
      </c>
      <c r="D20" t="s">
        <v>22</v>
      </c>
      <c r="E20" s="4">
        <v>4.75</v>
      </c>
      <c r="F20" s="4">
        <f t="shared" si="2"/>
        <v>475</v>
      </c>
      <c r="G20" s="5">
        <f t="shared" si="0"/>
        <v>0.24631578947368418</v>
      </c>
      <c r="H20" t="s">
        <v>22</v>
      </c>
      <c r="I20" s="4">
        <v>371.1</v>
      </c>
      <c r="J20" s="5">
        <f t="shared" si="3"/>
        <v>-1.3742926434923261E-2</v>
      </c>
      <c r="K20" t="s">
        <v>92</v>
      </c>
      <c r="L20" s="4">
        <v>199</v>
      </c>
      <c r="M20" s="5">
        <f t="shared" ref="M20:M48" si="4">(L21-L20)/L20</f>
        <v>1.7336683417085368E-2</v>
      </c>
      <c r="N20" t="s">
        <v>92</v>
      </c>
    </row>
    <row r="21" spans="1:14" ht="15.6" x14ac:dyDescent="0.3">
      <c r="A21" s="3">
        <v>1998</v>
      </c>
      <c r="B21" s="4">
        <v>281.60000000000002</v>
      </c>
      <c r="C21" s="5">
        <f t="shared" si="1"/>
        <v>2.0951704545454464E-2</v>
      </c>
      <c r="D21" t="s">
        <v>23</v>
      </c>
      <c r="E21" s="4">
        <v>5.92</v>
      </c>
      <c r="F21" s="4">
        <f t="shared" si="2"/>
        <v>592</v>
      </c>
      <c r="G21" s="5">
        <f t="shared" si="0"/>
        <v>-0.16891891891891891</v>
      </c>
      <c r="H21" t="s">
        <v>23</v>
      </c>
      <c r="I21" s="4">
        <v>366</v>
      </c>
      <c r="J21" s="5">
        <f t="shared" si="3"/>
        <v>-9.562841530054645E-3</v>
      </c>
      <c r="K21" t="s">
        <v>23</v>
      </c>
      <c r="L21" s="4">
        <v>202.45</v>
      </c>
      <c r="M21" s="5">
        <f t="shared" si="4"/>
        <v>0.66460854531983216</v>
      </c>
      <c r="N21" t="s">
        <v>23</v>
      </c>
    </row>
    <row r="22" spans="1:14" ht="15.6" x14ac:dyDescent="0.3">
      <c r="A22" s="3">
        <v>1999</v>
      </c>
      <c r="B22" s="4">
        <v>287.5</v>
      </c>
      <c r="C22" s="5">
        <f t="shared" si="1"/>
        <v>1.7391304347826088E-3</v>
      </c>
      <c r="D22" t="s">
        <v>24</v>
      </c>
      <c r="E22" s="4">
        <v>4.92</v>
      </c>
      <c r="F22" s="4">
        <f t="shared" si="2"/>
        <v>492</v>
      </c>
      <c r="G22" s="5">
        <f t="shared" si="0"/>
        <v>9.7560975609756184E-2</v>
      </c>
      <c r="H22" t="s">
        <v>56</v>
      </c>
      <c r="I22" s="4">
        <v>362.5</v>
      </c>
      <c r="J22" s="5">
        <f t="shared" si="3"/>
        <v>0.22896551724137931</v>
      </c>
      <c r="K22" t="s">
        <v>93</v>
      </c>
      <c r="L22" s="4">
        <v>337</v>
      </c>
      <c r="M22" s="5">
        <f t="shared" si="4"/>
        <v>0.31750741839762614</v>
      </c>
      <c r="N22" t="s">
        <v>118</v>
      </c>
    </row>
    <row r="23" spans="1:14" ht="15.6" x14ac:dyDescent="0.3">
      <c r="A23" s="3">
        <v>2000</v>
      </c>
      <c r="B23" s="4">
        <v>288</v>
      </c>
      <c r="C23" s="5">
        <f t="shared" si="1"/>
        <v>-5.3993055555555593E-2</v>
      </c>
      <c r="D23" t="s">
        <v>25</v>
      </c>
      <c r="E23" s="4">
        <v>5.4</v>
      </c>
      <c r="F23" s="4">
        <f t="shared" si="2"/>
        <v>540</v>
      </c>
      <c r="G23" s="5">
        <f t="shared" si="0"/>
        <v>-0.14814814814814828</v>
      </c>
      <c r="H23" t="s">
        <v>57</v>
      </c>
      <c r="I23" s="4">
        <v>445.5</v>
      </c>
      <c r="J23" s="5">
        <f t="shared" si="3"/>
        <v>0.36363636363636365</v>
      </c>
      <c r="K23" t="s">
        <v>94</v>
      </c>
      <c r="L23" s="4">
        <v>444</v>
      </c>
      <c r="M23" s="5">
        <f t="shared" si="4"/>
        <v>1.1384009009009011</v>
      </c>
      <c r="N23" t="s">
        <v>119</v>
      </c>
    </row>
    <row r="24" spans="1:14" ht="15.6" x14ac:dyDescent="0.3">
      <c r="A24" s="3">
        <v>2001</v>
      </c>
      <c r="B24" s="4">
        <v>272.45</v>
      </c>
      <c r="C24" s="5">
        <f t="shared" si="1"/>
        <v>2.2939988988805286E-2</v>
      </c>
      <c r="D24" t="s">
        <v>26</v>
      </c>
      <c r="E24" s="4">
        <v>4.5999999999999996</v>
      </c>
      <c r="F24" s="4">
        <f t="shared" si="2"/>
        <v>459.99999999999994</v>
      </c>
      <c r="G24" s="5">
        <f t="shared" si="0"/>
        <v>2.1739130434784079E-3</v>
      </c>
      <c r="H24" t="s">
        <v>58</v>
      </c>
      <c r="I24" s="4">
        <v>607.5</v>
      </c>
      <c r="J24" s="5">
        <f t="shared" si="3"/>
        <v>-0.21152263374485597</v>
      </c>
      <c r="K24" t="s">
        <v>58</v>
      </c>
      <c r="L24" s="4">
        <v>949.45</v>
      </c>
      <c r="M24" s="5">
        <f t="shared" si="4"/>
        <v>-0.54499973668966251</v>
      </c>
      <c r="N24" t="s">
        <v>120</v>
      </c>
    </row>
    <row r="25" spans="1:14" ht="15.6" x14ac:dyDescent="0.3">
      <c r="A25" s="3">
        <v>2002</v>
      </c>
      <c r="B25" s="4">
        <v>278.7</v>
      </c>
      <c r="C25" s="5">
        <f t="shared" si="1"/>
        <v>0.24793684965913176</v>
      </c>
      <c r="D25" t="s">
        <v>27</v>
      </c>
      <c r="E25" s="4">
        <v>4.6100000000000003</v>
      </c>
      <c r="F25" s="4">
        <f t="shared" si="2"/>
        <v>461.00000000000006</v>
      </c>
      <c r="G25" s="5">
        <f t="shared" si="0"/>
        <v>3.4707158351409813E-2</v>
      </c>
      <c r="H25" t="s">
        <v>59</v>
      </c>
      <c r="I25" s="4">
        <v>479</v>
      </c>
      <c r="J25" s="5">
        <f t="shared" si="3"/>
        <v>0.24843423799582465</v>
      </c>
      <c r="K25" t="s">
        <v>59</v>
      </c>
      <c r="L25" s="4">
        <v>432</v>
      </c>
      <c r="M25" s="5">
        <f t="shared" si="4"/>
        <v>-0.46759259259259262</v>
      </c>
      <c r="N25" t="s">
        <v>121</v>
      </c>
    </row>
    <row r="26" spans="1:14" ht="15.6" x14ac:dyDescent="0.3">
      <c r="A26" s="3">
        <v>2003</v>
      </c>
      <c r="B26" s="4">
        <v>347.8</v>
      </c>
      <c r="C26" s="5">
        <f t="shared" si="1"/>
        <v>0.1949396204715354</v>
      </c>
      <c r="D26" t="s">
        <v>28</v>
      </c>
      <c r="E26" s="4">
        <v>4.7699999999999996</v>
      </c>
      <c r="F26" s="4">
        <f t="shared" si="2"/>
        <v>476.99999999999994</v>
      </c>
      <c r="G26" s="5">
        <f t="shared" si="0"/>
        <v>0.24318658280922437</v>
      </c>
      <c r="H26" t="s">
        <v>60</v>
      </c>
      <c r="I26" s="4">
        <v>598</v>
      </c>
      <c r="J26" s="5">
        <f t="shared" si="3"/>
        <v>0.35451505016722407</v>
      </c>
      <c r="K26" t="s">
        <v>95</v>
      </c>
      <c r="L26" s="4">
        <v>230</v>
      </c>
      <c r="M26" s="5">
        <f t="shared" si="4"/>
        <v>-0.18260869565217391</v>
      </c>
      <c r="N26" t="s">
        <v>122</v>
      </c>
    </row>
    <row r="27" spans="1:14" ht="15.6" x14ac:dyDescent="0.3">
      <c r="A27" s="3">
        <v>2004</v>
      </c>
      <c r="B27" s="4">
        <v>415.6</v>
      </c>
      <c r="C27" s="5">
        <f t="shared" si="1"/>
        <v>5.3897978825793974E-2</v>
      </c>
      <c r="D27" t="s">
        <v>4</v>
      </c>
      <c r="E27" s="4">
        <v>5.93</v>
      </c>
      <c r="F27" s="4">
        <f t="shared" si="2"/>
        <v>593</v>
      </c>
      <c r="G27" s="5">
        <f t="shared" si="0"/>
        <v>0.14502529510961221</v>
      </c>
      <c r="H27" t="s">
        <v>61</v>
      </c>
      <c r="I27" s="4">
        <v>810</v>
      </c>
      <c r="J27" s="5">
        <f t="shared" si="3"/>
        <v>5.7407407407407407E-2</v>
      </c>
      <c r="K27" t="s">
        <v>96</v>
      </c>
      <c r="L27" s="4">
        <v>188</v>
      </c>
      <c r="M27" s="5">
        <f t="shared" si="4"/>
        <v>-2.9255319148936171E-2</v>
      </c>
      <c r="N27" t="s">
        <v>54</v>
      </c>
    </row>
    <row r="28" spans="1:14" ht="15.6" x14ac:dyDescent="0.3">
      <c r="A28" s="3">
        <v>2005</v>
      </c>
      <c r="B28" s="4">
        <v>438</v>
      </c>
      <c r="C28" s="5">
        <f t="shared" si="1"/>
        <v>0.1713470319634702</v>
      </c>
      <c r="D28" t="s">
        <v>29</v>
      </c>
      <c r="E28" s="4">
        <v>6.79</v>
      </c>
      <c r="F28" s="4">
        <f t="shared" si="2"/>
        <v>679</v>
      </c>
      <c r="G28" s="5">
        <f t="shared" si="0"/>
        <v>0.29749631811487487</v>
      </c>
      <c r="H28" t="s">
        <v>29</v>
      </c>
      <c r="I28" s="4">
        <v>856.5</v>
      </c>
      <c r="J28" s="5">
        <f t="shared" si="3"/>
        <v>0.1290134267367192</v>
      </c>
      <c r="K28" t="s">
        <v>97</v>
      </c>
      <c r="L28" s="4">
        <v>182.5</v>
      </c>
      <c r="M28" s="5">
        <f t="shared" si="4"/>
        <v>0.37808219178082192</v>
      </c>
      <c r="N28" t="s">
        <v>123</v>
      </c>
    </row>
    <row r="29" spans="1:14" ht="15.6" x14ac:dyDescent="0.3">
      <c r="A29" s="3">
        <v>2006</v>
      </c>
      <c r="B29" s="4">
        <v>513.04999999999995</v>
      </c>
      <c r="C29" s="5">
        <f t="shared" si="1"/>
        <v>0.24013254068804221</v>
      </c>
      <c r="D29" t="s">
        <v>30</v>
      </c>
      <c r="E29" s="4">
        <v>8.81</v>
      </c>
      <c r="F29" s="4">
        <f t="shared" si="2"/>
        <v>881</v>
      </c>
      <c r="G29" s="5">
        <f t="shared" si="0"/>
        <v>0.46083995459704863</v>
      </c>
      <c r="H29" t="s">
        <v>62</v>
      </c>
      <c r="I29" s="4">
        <v>967</v>
      </c>
      <c r="J29" s="5">
        <f t="shared" si="3"/>
        <v>0.17425025853154086</v>
      </c>
      <c r="K29" t="s">
        <v>98</v>
      </c>
      <c r="L29" s="4">
        <v>251.5</v>
      </c>
      <c r="M29" s="5">
        <f t="shared" si="4"/>
        <v>0.32007952286282304</v>
      </c>
      <c r="N29" t="s">
        <v>124</v>
      </c>
    </row>
    <row r="30" spans="1:14" ht="15.6" x14ac:dyDescent="0.3">
      <c r="A30" s="3">
        <v>2007</v>
      </c>
      <c r="B30" s="4">
        <v>636.25</v>
      </c>
      <c r="C30" s="5">
        <f t="shared" si="1"/>
        <v>0.30970530451866396</v>
      </c>
      <c r="D30" t="s">
        <v>31</v>
      </c>
      <c r="E30" s="4">
        <v>12.87</v>
      </c>
      <c r="F30" s="4">
        <f t="shared" si="2"/>
        <v>1287</v>
      </c>
      <c r="G30" s="5">
        <f t="shared" si="0"/>
        <v>0.14763014763014767</v>
      </c>
      <c r="H30" t="s">
        <v>63</v>
      </c>
      <c r="I30" s="4">
        <v>1135.5</v>
      </c>
      <c r="J30" s="5">
        <f t="shared" si="3"/>
        <v>0.34125935711140465</v>
      </c>
      <c r="K30" t="s">
        <v>99</v>
      </c>
      <c r="L30" s="4">
        <v>332</v>
      </c>
      <c r="M30" s="5">
        <f t="shared" si="4"/>
        <v>0.10391566265060241</v>
      </c>
      <c r="N30" t="s">
        <v>125</v>
      </c>
    </row>
    <row r="31" spans="1:14" ht="15.6" x14ac:dyDescent="0.3">
      <c r="A31" s="3">
        <v>2008</v>
      </c>
      <c r="B31" s="4">
        <v>833.3</v>
      </c>
      <c r="C31" s="5">
        <f t="shared" si="1"/>
        <v>5.6606264250570117E-2</v>
      </c>
      <c r="D31" t="s">
        <v>32</v>
      </c>
      <c r="E31" s="4">
        <v>14.77</v>
      </c>
      <c r="F31" s="4">
        <f t="shared" si="2"/>
        <v>1477</v>
      </c>
      <c r="G31" s="5">
        <f t="shared" si="0"/>
        <v>-0.2301963439404198</v>
      </c>
      <c r="H31" t="s">
        <v>64</v>
      </c>
      <c r="I31" s="4">
        <v>1523</v>
      </c>
      <c r="J31" s="5">
        <f t="shared" si="3"/>
        <v>-0.38903479973736049</v>
      </c>
      <c r="K31" t="s">
        <v>100</v>
      </c>
      <c r="L31" s="4">
        <v>366.5</v>
      </c>
      <c r="M31" s="5">
        <f t="shared" si="4"/>
        <v>-0.49386084583901774</v>
      </c>
      <c r="N31" t="s">
        <v>126</v>
      </c>
    </row>
    <row r="32" spans="1:14" ht="15.6" x14ac:dyDescent="0.3">
      <c r="A32" s="3">
        <v>2009</v>
      </c>
      <c r="B32" s="4">
        <v>880.47</v>
      </c>
      <c r="C32" s="5">
        <f t="shared" si="1"/>
        <v>0.24518722954785499</v>
      </c>
      <c r="D32" t="s">
        <v>33</v>
      </c>
      <c r="E32" s="4">
        <v>11.37</v>
      </c>
      <c r="F32" s="4">
        <f t="shared" si="2"/>
        <v>1137</v>
      </c>
      <c r="G32" s="5">
        <f t="shared" si="0"/>
        <v>0.48109058927000886</v>
      </c>
      <c r="H32" t="s">
        <v>65</v>
      </c>
      <c r="I32" s="4">
        <v>930.5</v>
      </c>
      <c r="J32" s="5">
        <f t="shared" si="3"/>
        <v>0.57549704459967754</v>
      </c>
      <c r="K32" t="s">
        <v>101</v>
      </c>
      <c r="L32" s="4">
        <v>185.5</v>
      </c>
      <c r="M32" s="5">
        <f t="shared" si="4"/>
        <v>1.1832884097035041</v>
      </c>
      <c r="N32" t="s">
        <v>101</v>
      </c>
    </row>
    <row r="33" spans="1:14" ht="15.6" x14ac:dyDescent="0.3">
      <c r="A33" s="3">
        <v>2010</v>
      </c>
      <c r="B33" s="4">
        <v>1096.3499999999999</v>
      </c>
      <c r="C33" s="5">
        <f t="shared" si="1"/>
        <v>0.29470515802435371</v>
      </c>
      <c r="D33" t="s">
        <v>34</v>
      </c>
      <c r="E33" s="4">
        <v>16.84</v>
      </c>
      <c r="F33" s="4">
        <f t="shared" si="2"/>
        <v>1684</v>
      </c>
      <c r="G33" s="5">
        <f t="shared" si="0"/>
        <v>0.83254156769596199</v>
      </c>
      <c r="H33" t="s">
        <v>66</v>
      </c>
      <c r="I33" s="4">
        <v>1466</v>
      </c>
      <c r="J33" s="5">
        <f t="shared" si="3"/>
        <v>0.20583219645293316</v>
      </c>
      <c r="K33" t="s">
        <v>102</v>
      </c>
      <c r="L33" s="4">
        <v>405</v>
      </c>
      <c r="M33" s="5">
        <f t="shared" si="4"/>
        <v>0.96851851851851856</v>
      </c>
      <c r="N33" t="s">
        <v>102</v>
      </c>
    </row>
    <row r="34" spans="1:14" ht="15.6" x14ac:dyDescent="0.3">
      <c r="A34" s="3">
        <v>2011</v>
      </c>
      <c r="B34" s="4">
        <v>1419.45</v>
      </c>
      <c r="C34" s="5">
        <f t="shared" si="1"/>
        <v>0.105125224558808</v>
      </c>
      <c r="D34" t="s">
        <v>35</v>
      </c>
      <c r="E34" s="4">
        <v>30.86</v>
      </c>
      <c r="F34" s="4">
        <f t="shared" si="2"/>
        <v>3086</v>
      </c>
      <c r="G34" s="5">
        <f t="shared" si="0"/>
        <v>-9.8185353208036327E-2</v>
      </c>
      <c r="H34" t="s">
        <v>67</v>
      </c>
      <c r="I34" s="4">
        <v>1767.75</v>
      </c>
      <c r="J34" s="5">
        <f t="shared" si="3"/>
        <v>-0.21414227124876253</v>
      </c>
      <c r="K34" t="s">
        <v>103</v>
      </c>
      <c r="L34" s="4">
        <v>797.25</v>
      </c>
      <c r="M34" s="5">
        <f t="shared" si="4"/>
        <v>-0.18408278457196611</v>
      </c>
      <c r="N34" t="s">
        <v>103</v>
      </c>
    </row>
    <row r="35" spans="1:14" ht="15.6" x14ac:dyDescent="0.3">
      <c r="A35" s="3">
        <v>2012</v>
      </c>
      <c r="B35" s="4">
        <v>1568.67</v>
      </c>
      <c r="C35" s="5">
        <f t="shared" si="1"/>
        <v>6.800028049239154E-2</v>
      </c>
      <c r="D35" t="s">
        <v>36</v>
      </c>
      <c r="E35" s="4">
        <v>27.83</v>
      </c>
      <c r="F35" s="4">
        <f t="shared" si="2"/>
        <v>2783</v>
      </c>
      <c r="G35" s="5">
        <f t="shared" si="0"/>
        <v>8.9471793029105365E-2</v>
      </c>
      <c r="H35" t="s">
        <v>36</v>
      </c>
      <c r="I35" s="4">
        <v>1389.2</v>
      </c>
      <c r="J35" s="5">
        <f t="shared" si="3"/>
        <v>0.10711200691045203</v>
      </c>
      <c r="K35" t="s">
        <v>104</v>
      </c>
      <c r="L35" s="4">
        <v>650.49</v>
      </c>
      <c r="M35" s="5">
        <f t="shared" si="4"/>
        <v>7.3805900167565969E-2</v>
      </c>
      <c r="N35" t="s">
        <v>127</v>
      </c>
    </row>
    <row r="36" spans="1:14" ht="15.6" x14ac:dyDescent="0.3">
      <c r="A36" s="3">
        <v>2013</v>
      </c>
      <c r="B36" s="6">
        <v>1675.34</v>
      </c>
      <c r="C36" s="5">
        <f t="shared" si="1"/>
        <v>-0.28050425585254329</v>
      </c>
      <c r="D36" t="s">
        <v>37</v>
      </c>
      <c r="E36" s="6">
        <v>30.32</v>
      </c>
      <c r="F36" s="4">
        <f t="shared" si="2"/>
        <v>3032</v>
      </c>
      <c r="G36" s="5">
        <f t="shared" si="0"/>
        <v>-0.35850923482849606</v>
      </c>
      <c r="H36" t="s">
        <v>37</v>
      </c>
      <c r="I36" s="6">
        <v>1538</v>
      </c>
      <c r="J36" s="5">
        <f t="shared" si="3"/>
        <v>-0.11167100130039012</v>
      </c>
      <c r="K36" t="s">
        <v>105</v>
      </c>
      <c r="L36" s="6">
        <v>698.5</v>
      </c>
      <c r="M36" s="5">
        <f t="shared" si="4"/>
        <v>2.1832498210450968E-2</v>
      </c>
      <c r="N36" t="s">
        <v>95</v>
      </c>
    </row>
    <row r="37" spans="1:14" ht="15.6" x14ac:dyDescent="0.3">
      <c r="A37" s="3">
        <v>2014</v>
      </c>
      <c r="B37" s="4">
        <v>1205.4000000000001</v>
      </c>
      <c r="C37" s="5">
        <f t="shared" si="1"/>
        <v>-1.927990708478514E-2</v>
      </c>
      <c r="D37" t="s">
        <v>38</v>
      </c>
      <c r="E37" s="4">
        <v>19.45</v>
      </c>
      <c r="F37" s="4">
        <f t="shared" si="2"/>
        <v>1945</v>
      </c>
      <c r="G37" s="5">
        <f t="shared" si="0"/>
        <v>-0.19434447300771204</v>
      </c>
      <c r="H37" t="s">
        <v>9</v>
      </c>
      <c r="I37" s="4">
        <v>1366.25</v>
      </c>
      <c r="J37" s="5">
        <f t="shared" si="3"/>
        <v>-0.11846294602012802</v>
      </c>
      <c r="K37" t="s">
        <v>106</v>
      </c>
      <c r="L37" s="4">
        <v>713.75</v>
      </c>
      <c r="M37" s="5">
        <f t="shared" si="4"/>
        <v>0.11369527145359017</v>
      </c>
      <c r="N37" t="s">
        <v>128</v>
      </c>
    </row>
    <row r="38" spans="1:14" ht="15.6" x14ac:dyDescent="0.3">
      <c r="A38" s="3">
        <v>2015</v>
      </c>
      <c r="B38" s="4">
        <v>1182.1600000000001</v>
      </c>
      <c r="C38" s="5">
        <f t="shared" si="1"/>
        <v>-0.10232117479867364</v>
      </c>
      <c r="D38" t="s">
        <v>39</v>
      </c>
      <c r="E38" s="4">
        <v>15.67</v>
      </c>
      <c r="F38" s="4">
        <f t="shared" si="2"/>
        <v>1567</v>
      </c>
      <c r="G38" s="5">
        <f t="shared" si="0"/>
        <v>-0.11678366305041481</v>
      </c>
      <c r="H38" t="s">
        <v>68</v>
      </c>
      <c r="I38" s="4">
        <v>1204.4000000000001</v>
      </c>
      <c r="J38" s="5">
        <f t="shared" si="3"/>
        <v>-0.26394885420126207</v>
      </c>
      <c r="K38" t="s">
        <v>107</v>
      </c>
      <c r="L38" s="4">
        <v>794.9</v>
      </c>
      <c r="M38" s="5">
        <f t="shared" si="4"/>
        <v>-0.29462825512643093</v>
      </c>
      <c r="N38" t="s">
        <v>129</v>
      </c>
    </row>
    <row r="39" spans="1:14" ht="15.6" x14ac:dyDescent="0.3">
      <c r="A39" s="3">
        <v>2016</v>
      </c>
      <c r="B39" s="4">
        <v>1061.2</v>
      </c>
      <c r="C39" s="5">
        <f t="shared" si="1"/>
        <v>8.5082924990576667E-2</v>
      </c>
      <c r="D39" t="s">
        <v>40</v>
      </c>
      <c r="E39" s="4">
        <v>13.84</v>
      </c>
      <c r="F39" s="4">
        <f t="shared" si="2"/>
        <v>1384</v>
      </c>
      <c r="G39" s="5">
        <f t="shared" si="0"/>
        <v>0.1473988439306359</v>
      </c>
      <c r="H39" t="s">
        <v>69</v>
      </c>
      <c r="I39" s="4">
        <v>886.5</v>
      </c>
      <c r="J39" s="5">
        <f t="shared" si="3"/>
        <v>1.6920473773265651E-2</v>
      </c>
      <c r="K39" t="s">
        <v>108</v>
      </c>
      <c r="L39" s="4">
        <v>560.70000000000005</v>
      </c>
      <c r="M39" s="5">
        <f t="shared" si="4"/>
        <v>0.21276975209559471</v>
      </c>
      <c r="N39" t="s">
        <v>130</v>
      </c>
    </row>
    <row r="40" spans="1:14" ht="15.6" x14ac:dyDescent="0.3">
      <c r="A40" s="3">
        <v>2017</v>
      </c>
      <c r="B40" s="4">
        <v>1151.49</v>
      </c>
      <c r="C40" s="5">
        <f t="shared" si="1"/>
        <v>0.13119523400116365</v>
      </c>
      <c r="D40" t="s">
        <v>41</v>
      </c>
      <c r="E40" s="4">
        <v>15.88</v>
      </c>
      <c r="F40" s="4">
        <f t="shared" si="2"/>
        <v>1588</v>
      </c>
      <c r="G40" s="5">
        <f t="shared" si="0"/>
        <v>6.4861460957178804E-2</v>
      </c>
      <c r="H40" t="s">
        <v>70</v>
      </c>
      <c r="I40" s="4">
        <v>901.5</v>
      </c>
      <c r="J40" s="5">
        <f t="shared" si="3"/>
        <v>3.2723239046034386E-2</v>
      </c>
      <c r="K40" t="s">
        <v>109</v>
      </c>
      <c r="L40" s="4">
        <v>680</v>
      </c>
      <c r="M40" s="5">
        <f t="shared" si="4"/>
        <v>0.56617647058823528</v>
      </c>
      <c r="N40" t="s">
        <v>131</v>
      </c>
    </row>
    <row r="41" spans="1:14" ht="15.6" x14ac:dyDescent="0.3">
      <c r="A41" s="3">
        <v>2018</v>
      </c>
      <c r="B41" s="4">
        <v>1302.56</v>
      </c>
      <c r="C41" s="5">
        <f t="shared" si="1"/>
        <v>-1.5592371944478524E-2</v>
      </c>
      <c r="D41" t="s">
        <v>42</v>
      </c>
      <c r="E41" s="4">
        <v>16.91</v>
      </c>
      <c r="F41" s="4">
        <f t="shared" si="2"/>
        <v>1691</v>
      </c>
      <c r="G41" s="5">
        <f t="shared" si="0"/>
        <v>-8.5748078060319297E-2</v>
      </c>
      <c r="H41" t="s">
        <v>71</v>
      </c>
      <c r="I41" s="4">
        <v>931</v>
      </c>
      <c r="J41" s="5">
        <f t="shared" si="3"/>
        <v>-0.14930182599355532</v>
      </c>
      <c r="K41" t="s">
        <v>110</v>
      </c>
      <c r="L41" s="4">
        <v>1065</v>
      </c>
      <c r="M41" s="5">
        <f t="shared" si="4"/>
        <v>0.18826291079812207</v>
      </c>
      <c r="N41" t="s">
        <v>132</v>
      </c>
    </row>
    <row r="42" spans="1:14" ht="15.6" x14ac:dyDescent="0.3">
      <c r="A42" s="3">
        <v>2019</v>
      </c>
      <c r="B42" s="4">
        <v>1282.25</v>
      </c>
      <c r="C42" s="5">
        <f t="shared" si="1"/>
        <v>0.18362253850653151</v>
      </c>
      <c r="D42" t="s">
        <v>43</v>
      </c>
      <c r="E42" s="4">
        <v>15.46</v>
      </c>
      <c r="F42" s="4">
        <f t="shared" si="2"/>
        <v>1546</v>
      </c>
      <c r="G42" s="5">
        <f t="shared" si="0"/>
        <v>0.15459249676584738</v>
      </c>
      <c r="H42" t="s">
        <v>72</v>
      </c>
      <c r="I42" s="4">
        <v>792</v>
      </c>
      <c r="J42" s="5">
        <f t="shared" si="3"/>
        <v>0.22125000000000003</v>
      </c>
      <c r="K42" t="s">
        <v>111</v>
      </c>
      <c r="L42" s="4">
        <v>1265.5</v>
      </c>
      <c r="M42" s="5">
        <f t="shared" si="4"/>
        <v>0.5377084156459897</v>
      </c>
      <c r="N42" t="s">
        <v>133</v>
      </c>
    </row>
    <row r="43" spans="1:14" ht="15.6" x14ac:dyDescent="0.3">
      <c r="A43" s="3">
        <v>2020</v>
      </c>
      <c r="B43" s="4">
        <v>1517.7</v>
      </c>
      <c r="C43" s="5">
        <f t="shared" si="1"/>
        <v>0.25062265269816159</v>
      </c>
      <c r="D43" t="s">
        <v>44</v>
      </c>
      <c r="E43" s="4">
        <v>17.850000000000001</v>
      </c>
      <c r="F43" s="4">
        <f t="shared" si="2"/>
        <v>1785.0000000000002</v>
      </c>
      <c r="G43" s="5">
        <f t="shared" si="0"/>
        <v>0.47619047619047616</v>
      </c>
      <c r="H43" t="s">
        <v>73</v>
      </c>
      <c r="I43" s="4">
        <v>967.23</v>
      </c>
      <c r="J43" s="5">
        <f t="shared" si="3"/>
        <v>0.10831963441994147</v>
      </c>
      <c r="K43" t="s">
        <v>112</v>
      </c>
      <c r="L43" s="4">
        <v>1945.97</v>
      </c>
      <c r="M43" s="5">
        <f t="shared" si="4"/>
        <v>0.2662065705021146</v>
      </c>
      <c r="N43" t="s">
        <v>134</v>
      </c>
    </row>
    <row r="44" spans="1:14" ht="15.6" x14ac:dyDescent="0.3">
      <c r="A44" s="3">
        <v>2021</v>
      </c>
      <c r="B44" s="4">
        <v>1898.07</v>
      </c>
      <c r="C44" s="5">
        <f t="shared" si="1"/>
        <v>-3.6916446706391194E-2</v>
      </c>
      <c r="D44" t="s">
        <v>45</v>
      </c>
      <c r="E44" s="4">
        <v>26.35</v>
      </c>
      <c r="F44" s="4">
        <f t="shared" si="2"/>
        <v>2635</v>
      </c>
      <c r="G44" s="5">
        <f t="shared" si="0"/>
        <v>-0.11650853889943075</v>
      </c>
      <c r="H44" t="s">
        <v>74</v>
      </c>
      <c r="I44" s="4">
        <v>1072</v>
      </c>
      <c r="J44" s="5">
        <f t="shared" si="3"/>
        <v>-9.9813432835820892E-2</v>
      </c>
      <c r="K44" t="s">
        <v>113</v>
      </c>
      <c r="L44" s="4">
        <v>2464</v>
      </c>
      <c r="M44" s="5">
        <f t="shared" si="4"/>
        <v>-0.2278814935064935</v>
      </c>
      <c r="N44" t="s">
        <v>135</v>
      </c>
    </row>
    <row r="45" spans="1:14" ht="15.6" x14ac:dyDescent="0.3">
      <c r="A45" s="3">
        <v>2022</v>
      </c>
      <c r="B45" s="4">
        <v>1828</v>
      </c>
      <c r="C45" s="5">
        <f t="shared" si="1"/>
        <v>-2.4452954048140192E-3</v>
      </c>
      <c r="D45" t="s">
        <v>47</v>
      </c>
      <c r="E45" s="4">
        <v>23.28</v>
      </c>
      <c r="F45" s="4">
        <f t="shared" si="2"/>
        <v>2328</v>
      </c>
      <c r="G45" s="5">
        <f t="shared" si="0"/>
        <v>2.8780068728522255E-2</v>
      </c>
      <c r="H45" t="s">
        <v>47</v>
      </c>
      <c r="I45" s="4">
        <v>965</v>
      </c>
      <c r="J45" s="5">
        <f t="shared" si="3"/>
        <v>0.10673575129533679</v>
      </c>
      <c r="K45" t="s">
        <v>114</v>
      </c>
      <c r="L45" s="4">
        <v>1902.5</v>
      </c>
      <c r="M45" s="5">
        <f t="shared" si="4"/>
        <v>-5.3613666228646516E-2</v>
      </c>
      <c r="N45" t="s">
        <v>136</v>
      </c>
    </row>
    <row r="46" spans="1:14" ht="15.6" x14ac:dyDescent="0.3">
      <c r="A46" s="3">
        <v>2023</v>
      </c>
      <c r="B46" s="4">
        <v>1823.53</v>
      </c>
      <c r="C46" s="5">
        <f t="shared" si="1"/>
        <v>0.13114673188815093</v>
      </c>
      <c r="D46" t="s">
        <v>46</v>
      </c>
      <c r="E46" s="4">
        <v>23.95</v>
      </c>
      <c r="F46" s="4">
        <f t="shared" si="2"/>
        <v>2395</v>
      </c>
      <c r="G46" s="5">
        <f t="shared" si="0"/>
        <v>-7.5156576200417421E-3</v>
      </c>
      <c r="H46" t="s">
        <v>46</v>
      </c>
      <c r="I46" s="4">
        <v>1068</v>
      </c>
      <c r="J46" s="5">
        <f t="shared" si="3"/>
        <v>-7.3033707865168537E-2</v>
      </c>
      <c r="K46" t="s">
        <v>115</v>
      </c>
      <c r="L46" s="4">
        <v>1800.5</v>
      </c>
      <c r="M46" s="5">
        <f t="shared" si="4"/>
        <v>-0.38822549291863373</v>
      </c>
      <c r="N46" t="s">
        <v>137</v>
      </c>
    </row>
    <row r="47" spans="1:14" ht="15.6" x14ac:dyDescent="0.3">
      <c r="A47" s="3">
        <v>2024</v>
      </c>
      <c r="B47" s="4">
        <v>2062.6799999999998</v>
      </c>
      <c r="C47" s="5">
        <f t="shared" si="1"/>
        <v>0.27204413675412586</v>
      </c>
      <c r="D47" t="s">
        <v>47</v>
      </c>
      <c r="E47" s="4">
        <v>23.77</v>
      </c>
      <c r="F47" s="4">
        <f t="shared" si="2"/>
        <v>2377</v>
      </c>
      <c r="G47" s="5">
        <f t="shared" si="0"/>
        <v>0.21539755994951623</v>
      </c>
      <c r="H47" t="s">
        <v>75</v>
      </c>
      <c r="I47" s="4">
        <v>990</v>
      </c>
      <c r="J47" s="5">
        <f t="shared" si="3"/>
        <v>-8.0646464646464674E-2</v>
      </c>
      <c r="K47" t="s">
        <v>116</v>
      </c>
      <c r="L47" s="4">
        <v>1101.5</v>
      </c>
      <c r="M47" s="5">
        <f t="shared" si="4"/>
        <v>-0.17338175215615073</v>
      </c>
      <c r="N47" t="s">
        <v>138</v>
      </c>
    </row>
    <row r="48" spans="1:14" ht="15.6" x14ac:dyDescent="0.3">
      <c r="A48" s="3">
        <v>2025</v>
      </c>
      <c r="B48" s="4">
        <v>2623.82</v>
      </c>
      <c r="C48" s="5">
        <f t="shared" si="1"/>
        <v>0.5694674177344482</v>
      </c>
      <c r="D48" t="s">
        <v>147</v>
      </c>
      <c r="E48" s="4">
        <v>28.89</v>
      </c>
      <c r="F48" s="4">
        <f t="shared" si="2"/>
        <v>2889</v>
      </c>
      <c r="G48" s="5">
        <f t="shared" si="0"/>
        <v>0.70335756317064724</v>
      </c>
      <c r="H48" s="7" t="s">
        <v>147</v>
      </c>
      <c r="I48" s="4">
        <v>910.16</v>
      </c>
      <c r="J48" s="5">
        <f t="shared" si="3"/>
        <v>0.82495385426738166</v>
      </c>
      <c r="K48" s="8" t="s">
        <v>147</v>
      </c>
      <c r="L48" s="4">
        <v>910.52</v>
      </c>
      <c r="M48" s="5">
        <f t="shared" si="4"/>
        <v>0.60897069806264559</v>
      </c>
      <c r="N48" s="8" t="s">
        <v>147</v>
      </c>
    </row>
    <row r="49" spans="1:14" ht="15.6" x14ac:dyDescent="0.3">
      <c r="A49" s="3">
        <v>2026</v>
      </c>
      <c r="B49" s="4">
        <v>4118</v>
      </c>
      <c r="C49" s="5"/>
      <c r="D49" s="8" t="s">
        <v>147</v>
      </c>
      <c r="E49" s="4">
        <v>49.21</v>
      </c>
      <c r="F49" s="4">
        <f t="shared" ref="F49" si="5">E49*100</f>
        <v>4921</v>
      </c>
      <c r="G49" s="5"/>
      <c r="H49" s="7" t="s">
        <v>147</v>
      </c>
      <c r="I49" s="4">
        <v>1661</v>
      </c>
      <c r="J49" s="5"/>
      <c r="K49" s="8" t="s">
        <v>147</v>
      </c>
      <c r="L49" s="4">
        <v>1465</v>
      </c>
      <c r="M49" s="5"/>
      <c r="N49" s="8" t="s">
        <v>147</v>
      </c>
    </row>
    <row r="50" spans="1:14" ht="15.6" x14ac:dyDescent="0.3">
      <c r="A50" s="14" t="s">
        <v>83</v>
      </c>
      <c r="B50" s="31">
        <f>(B49-B3)/B3</f>
        <v>6.3208888888888888</v>
      </c>
      <c r="C50" s="32"/>
      <c r="D50" s="33"/>
      <c r="E50" s="4"/>
      <c r="F50" s="31">
        <f>(E49-E3)/E3</f>
        <v>0.30357615894039736</v>
      </c>
      <c r="G50" s="32"/>
      <c r="H50" s="33"/>
      <c r="I50" s="31">
        <f>(I49-I3)/I3</f>
        <v>1.2986437863271518</v>
      </c>
      <c r="J50" s="32"/>
      <c r="K50" s="33"/>
      <c r="L50" s="31">
        <f>(L49-L20)/L20</f>
        <v>6.3618090452261304</v>
      </c>
      <c r="M50" s="32"/>
      <c r="N50" s="33"/>
    </row>
  </sheetData>
  <autoFilter ref="A2:A50" xr:uid="{00000000-0001-0000-0000-000000000000}"/>
  <mergeCells count="8">
    <mergeCell ref="L1:N1"/>
    <mergeCell ref="L50:N50"/>
    <mergeCell ref="E1:H1"/>
    <mergeCell ref="B1:D1"/>
    <mergeCell ref="B50:D50"/>
    <mergeCell ref="F50:H50"/>
    <mergeCell ref="I1:K1"/>
    <mergeCell ref="I50:K50"/>
  </mergeCells>
  <conditionalFormatting sqref="C3:C49">
    <cfRule type="cellIs" dxfId="15" priority="13" operator="greaterThan">
      <formula>0.0001</formula>
    </cfRule>
    <cfRule type="cellIs" dxfId="14" priority="14" operator="lessThan">
      <formula>-0.0001</formula>
    </cfRule>
    <cfRule type="cellIs" dxfId="13" priority="15" operator="lessThan">
      <formula>-0.01</formula>
    </cfRule>
    <cfRule type="cellIs" dxfId="12" priority="16" operator="greaterThan">
      <formula>-0.01</formula>
    </cfRule>
  </conditionalFormatting>
  <conditionalFormatting sqref="G3:G49">
    <cfRule type="cellIs" dxfId="11" priority="9" operator="greaterThan">
      <formula>0.0001</formula>
    </cfRule>
    <cfRule type="cellIs" dxfId="10" priority="10" operator="lessThan">
      <formula>-0.0001</formula>
    </cfRule>
    <cfRule type="cellIs" dxfId="9" priority="11" operator="lessThan">
      <formula>-0.01</formula>
    </cfRule>
    <cfRule type="cellIs" dxfId="8" priority="12" operator="greaterThan">
      <formula>-0.01</formula>
    </cfRule>
  </conditionalFormatting>
  <conditionalFormatting sqref="J3:J49">
    <cfRule type="cellIs" dxfId="7" priority="5" operator="greaterThan">
      <formula>0.0001</formula>
    </cfRule>
    <cfRule type="cellIs" dxfId="6" priority="6" operator="lessThan">
      <formula>-0.0001</formula>
    </cfRule>
    <cfRule type="cellIs" dxfId="5" priority="7" operator="lessThan">
      <formula>-0.01</formula>
    </cfRule>
    <cfRule type="cellIs" dxfId="4" priority="8" operator="greaterThan">
      <formula>-0.01</formula>
    </cfRule>
  </conditionalFormatting>
  <conditionalFormatting sqref="M20:M49">
    <cfRule type="cellIs" dxfId="3" priority="1" operator="greaterThan">
      <formula>0.0001</formula>
    </cfRule>
    <cfRule type="cellIs" dxfId="2" priority="2" operator="lessThan">
      <formula>-0.0001</formula>
    </cfRule>
    <cfRule type="cellIs" dxfId="1" priority="3" operator="lessThan">
      <formula>-0.01</formula>
    </cfRule>
    <cfRule type="cellIs" dxfId="0" priority="4" operator="greaterThan">
      <formula>-0.01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5F62-8780-44D4-B0D2-E79D1F43370E}">
  <dimension ref="A1:B7"/>
  <sheetViews>
    <sheetView workbookViewId="0">
      <selection activeCell="B2" sqref="B2"/>
    </sheetView>
  </sheetViews>
  <sheetFormatPr defaultRowHeight="14.4" x14ac:dyDescent="0.3"/>
  <cols>
    <col min="1" max="1" width="20.44140625" bestFit="1" customWidth="1"/>
    <col min="2" max="2" width="11.77734375" bestFit="1" customWidth="1"/>
  </cols>
  <sheetData>
    <row r="1" spans="1:2" ht="25.8" x14ac:dyDescent="0.5">
      <c r="A1" s="15" t="s">
        <v>140</v>
      </c>
      <c r="B1" s="15" t="s">
        <v>1</v>
      </c>
    </row>
    <row r="2" spans="1:2" x14ac:dyDescent="0.3">
      <c r="A2" s="16" t="s">
        <v>141</v>
      </c>
      <c r="B2" s="17">
        <f>CORREL('DEĞERLİ MADENLER'!C3:C48,'DEĞERLİ MADENLER'!G3:G48)</f>
        <v>0.73084915146916818</v>
      </c>
    </row>
    <row r="3" spans="1:2" x14ac:dyDescent="0.3">
      <c r="A3" s="16" t="s">
        <v>142</v>
      </c>
      <c r="B3" s="17">
        <f>CORREL('DEĞERLİ MADENLER'!C3:C48,'DEĞERLİ MADENLER'!J3:J48)</f>
        <v>0.43689675395054595</v>
      </c>
    </row>
    <row r="4" spans="1:2" x14ac:dyDescent="0.3">
      <c r="A4" s="16" t="s">
        <v>143</v>
      </c>
      <c r="B4" s="17">
        <f>CORREL('DEĞERLİ MADENLER'!C3:C48,'DEĞERLİ MADENLER'!M3:M48)</f>
        <v>0.24833216862330318</v>
      </c>
    </row>
    <row r="5" spans="1:2" x14ac:dyDescent="0.3">
      <c r="A5" s="16" t="s">
        <v>144</v>
      </c>
      <c r="B5" s="17">
        <f>CORREL('DEĞERLİ MADENLER'!G3:G48,'DEĞERLİ MADENLER'!J3:J48)</f>
        <v>0.47310381299415255</v>
      </c>
    </row>
    <row r="6" spans="1:2" x14ac:dyDescent="0.3">
      <c r="A6" s="16" t="s">
        <v>145</v>
      </c>
      <c r="B6" s="17">
        <f>CORREL('DEĞERLİ MADENLER'!G3:G48,'DEĞERLİ MADENLER'!M3:M48)</f>
        <v>0.45309522981040656</v>
      </c>
    </row>
    <row r="7" spans="1:2" x14ac:dyDescent="0.3">
      <c r="A7" s="16" t="s">
        <v>146</v>
      </c>
      <c r="B7" s="17">
        <f>CORREL('DEĞERLİ MADENLER'!J3:J48,'DEĞERLİ MADENLER'!M3:M48)</f>
        <v>0.61576446717126776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2BC7-F0E2-492F-8F6C-2E9D7099E0BB}">
  <dimension ref="A1:Z29"/>
  <sheetViews>
    <sheetView workbookViewId="0">
      <selection sqref="A1:Z29"/>
    </sheetView>
  </sheetViews>
  <sheetFormatPr defaultRowHeight="14.4" x14ac:dyDescent="0.3"/>
  <sheetData>
    <row r="1" spans="1:26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x14ac:dyDescent="0.3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x14ac:dyDescent="0.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</sheetData>
  <mergeCells count="1">
    <mergeCell ref="A1:Z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624E-3CF2-400A-A296-A3599CF45428}">
  <dimension ref="A1:Z29"/>
  <sheetViews>
    <sheetView workbookViewId="0">
      <selection sqref="A1:Z29"/>
    </sheetView>
  </sheetViews>
  <sheetFormatPr defaultRowHeight="14.4" x14ac:dyDescent="0.3"/>
  <sheetData>
    <row r="1" spans="1:26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x14ac:dyDescent="0.3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x14ac:dyDescent="0.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</sheetData>
  <mergeCells count="1">
    <mergeCell ref="A1:Z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BİLGİLENDİRME</vt:lpstr>
      <vt:lpstr>DEĞERLİ MADENLER</vt:lpstr>
      <vt:lpstr>KORELASYON</vt:lpstr>
      <vt:lpstr>DASHBOARD $</vt:lpstr>
      <vt:lpstr>DASHBOARD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Yörüsün</dc:creator>
  <cp:lastModifiedBy>Koray Yörüsün</cp:lastModifiedBy>
  <dcterms:created xsi:type="dcterms:W3CDTF">2015-06-05T18:17:20Z</dcterms:created>
  <dcterms:modified xsi:type="dcterms:W3CDTF">2025-10-23T09:16:34Z</dcterms:modified>
</cp:coreProperties>
</file>